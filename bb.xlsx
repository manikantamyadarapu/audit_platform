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f61751a95072f2/Desktop/New folder/Fin new inputs/"/>
    </mc:Choice>
  </mc:AlternateContent>
  <xr:revisionPtr revIDLastSave="0" documentId="8_{AF69E253-CEF0-4DA7-AF8B-C9CEFE04F6AE}" xr6:coauthVersionLast="47" xr6:coauthVersionMax="47" xr10:uidLastSave="{00000000-0000-0000-0000-000000000000}"/>
  <bookViews>
    <workbookView xWindow="-108" yWindow="-108" windowWidth="23256" windowHeight="12456" activeTab="6" xr2:uid="{BD66377F-2C8A-4BA3-A828-FC9D0390D0F0}"/>
  </bookViews>
  <sheets>
    <sheet name="DIA" sheetId="1" r:id="rId1"/>
    <sheet name="EME" sheetId="2" r:id="rId2"/>
    <sheet name="PERALS" sheetId="3" r:id="rId3"/>
    <sheet name="RUBIE" sheetId="4" r:id="rId4"/>
    <sheet name="Precious" sheetId="5" r:id="rId5"/>
    <sheet name="trading" sheetId="6" r:id="rId6"/>
    <sheet name="abstract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7" l="1"/>
  <c r="V32" i="7"/>
  <c r="U32" i="7"/>
  <c r="T32" i="7"/>
  <c r="S32" i="7"/>
  <c r="Q32" i="7"/>
  <c r="P32" i="7"/>
  <c r="O32" i="7"/>
  <c r="N32" i="7"/>
  <c r="M32" i="7"/>
  <c r="L32" i="7"/>
  <c r="I32" i="7"/>
  <c r="H32" i="7"/>
  <c r="G32" i="7"/>
  <c r="K32" i="7" s="1"/>
  <c r="F32" i="7"/>
  <c r="J32" i="7" s="1"/>
  <c r="E32" i="7"/>
  <c r="D32" i="7"/>
  <c r="C32" i="7"/>
  <c r="B32" i="7"/>
  <c r="V31" i="7"/>
  <c r="U31" i="7"/>
  <c r="T31" i="7"/>
  <c r="S31" i="7"/>
  <c r="Q31" i="7"/>
  <c r="P31" i="7"/>
  <c r="O31" i="7"/>
  <c r="N31" i="7"/>
  <c r="M31" i="7"/>
  <c r="L31" i="7"/>
  <c r="I31" i="7"/>
  <c r="H31" i="7"/>
  <c r="G31" i="7"/>
  <c r="K31" i="7" s="1"/>
  <c r="F31" i="7"/>
  <c r="J31" i="7" s="1"/>
  <c r="E31" i="7"/>
  <c r="D31" i="7"/>
  <c r="C31" i="7"/>
  <c r="B31" i="7"/>
  <c r="V30" i="7"/>
  <c r="V34" i="7" s="1"/>
  <c r="V13" i="7" s="1"/>
  <c r="U30" i="7"/>
  <c r="U34" i="7" s="1"/>
  <c r="U13" i="7" s="1"/>
  <c r="T30" i="7"/>
  <c r="S30" i="7"/>
  <c r="S34" i="7" s="1"/>
  <c r="S13" i="7" s="1"/>
  <c r="Q30" i="7"/>
  <c r="Q34" i="7" s="1"/>
  <c r="P30" i="7"/>
  <c r="P34" i="7" s="1"/>
  <c r="O30" i="7"/>
  <c r="O34" i="7" s="1"/>
  <c r="O13" i="7" s="1"/>
  <c r="N30" i="7"/>
  <c r="N34" i="7" s="1"/>
  <c r="N13" i="7" s="1"/>
  <c r="M30" i="7"/>
  <c r="M34" i="7" s="1"/>
  <c r="M13" i="7" s="1"/>
  <c r="Q13" i="7" s="1"/>
  <c r="L30" i="7"/>
  <c r="L34" i="7" s="1"/>
  <c r="L13" i="7" s="1"/>
  <c r="P13" i="7" s="1"/>
  <c r="I30" i="7"/>
  <c r="I34" i="7" s="1"/>
  <c r="I13" i="7" s="1"/>
  <c r="H30" i="7"/>
  <c r="H34" i="7" s="1"/>
  <c r="H13" i="7" s="1"/>
  <c r="G30" i="7"/>
  <c r="F30" i="7"/>
  <c r="E30" i="7"/>
  <c r="E34" i="7" s="1"/>
  <c r="E13" i="7" s="1"/>
  <c r="D30" i="7"/>
  <c r="D34" i="7" s="1"/>
  <c r="D13" i="7" s="1"/>
  <c r="C30" i="7"/>
  <c r="C34" i="7" s="1"/>
  <c r="C13" i="7" s="1"/>
  <c r="B30" i="7"/>
  <c r="B34" i="7" s="1"/>
  <c r="B13" i="7" s="1"/>
  <c r="R27" i="7"/>
  <c r="V25" i="7"/>
  <c r="U25" i="7"/>
  <c r="T25" i="7"/>
  <c r="S25" i="7"/>
  <c r="O25" i="7"/>
  <c r="N25" i="7"/>
  <c r="M25" i="7"/>
  <c r="Q25" i="7" s="1"/>
  <c r="L25" i="7"/>
  <c r="P25" i="7" s="1"/>
  <c r="I25" i="7"/>
  <c r="H25" i="7"/>
  <c r="G25" i="7"/>
  <c r="K25" i="7" s="1"/>
  <c r="F25" i="7"/>
  <c r="J25" i="7" s="1"/>
  <c r="E25" i="7"/>
  <c r="D25" i="7"/>
  <c r="C25" i="7"/>
  <c r="B25" i="7"/>
  <c r="V24" i="7"/>
  <c r="U24" i="7"/>
  <c r="T24" i="7"/>
  <c r="S24" i="7"/>
  <c r="O24" i="7"/>
  <c r="N24" i="7"/>
  <c r="M24" i="7"/>
  <c r="Q24" i="7" s="1"/>
  <c r="L24" i="7"/>
  <c r="P24" i="7" s="1"/>
  <c r="I24" i="7"/>
  <c r="H24" i="7"/>
  <c r="G24" i="7"/>
  <c r="K24" i="7" s="1"/>
  <c r="F24" i="7"/>
  <c r="J24" i="7" s="1"/>
  <c r="E24" i="7"/>
  <c r="D24" i="7"/>
  <c r="C24" i="7"/>
  <c r="B24" i="7"/>
  <c r="A24" i="7"/>
  <c r="V23" i="7"/>
  <c r="U23" i="7"/>
  <c r="T23" i="7"/>
  <c r="S23" i="7"/>
  <c r="O23" i="7"/>
  <c r="N23" i="7"/>
  <c r="M23" i="7"/>
  <c r="Q23" i="7" s="1"/>
  <c r="L23" i="7"/>
  <c r="P23" i="7" s="1"/>
  <c r="I23" i="7"/>
  <c r="H23" i="7"/>
  <c r="G23" i="7"/>
  <c r="K23" i="7" s="1"/>
  <c r="F23" i="7"/>
  <c r="J23" i="7" s="1"/>
  <c r="E23" i="7"/>
  <c r="D23" i="7"/>
  <c r="C23" i="7"/>
  <c r="B23" i="7"/>
  <c r="A23" i="7"/>
  <c r="V22" i="7"/>
  <c r="U22" i="7"/>
  <c r="T22" i="7"/>
  <c r="S22" i="7"/>
  <c r="O22" i="7"/>
  <c r="N22" i="7"/>
  <c r="M22" i="7"/>
  <c r="Q22" i="7" s="1"/>
  <c r="L22" i="7"/>
  <c r="P22" i="7" s="1"/>
  <c r="I22" i="7"/>
  <c r="H22" i="7"/>
  <c r="G22" i="7"/>
  <c r="K22" i="7" s="1"/>
  <c r="F22" i="7"/>
  <c r="J22" i="7" s="1"/>
  <c r="E22" i="7"/>
  <c r="D22" i="7"/>
  <c r="C22" i="7"/>
  <c r="B22" i="7"/>
  <c r="A22" i="7"/>
  <c r="V21" i="7"/>
  <c r="V27" i="7" s="1"/>
  <c r="V9" i="7" s="1"/>
  <c r="U21" i="7"/>
  <c r="U27" i="7" s="1"/>
  <c r="U9" i="7" s="1"/>
  <c r="T21" i="7"/>
  <c r="S21" i="7"/>
  <c r="S27" i="7" s="1"/>
  <c r="S9" i="7" s="1"/>
  <c r="O21" i="7"/>
  <c r="O27" i="7" s="1"/>
  <c r="O9" i="7" s="1"/>
  <c r="N21" i="7"/>
  <c r="N27" i="7" s="1"/>
  <c r="N9" i="7" s="1"/>
  <c r="M21" i="7"/>
  <c r="L21" i="7"/>
  <c r="I21" i="7"/>
  <c r="I27" i="7" s="1"/>
  <c r="I9" i="7" s="1"/>
  <c r="H21" i="7"/>
  <c r="H27" i="7" s="1"/>
  <c r="H9" i="7" s="1"/>
  <c r="G21" i="7"/>
  <c r="F21" i="7"/>
  <c r="E21" i="7"/>
  <c r="E27" i="7" s="1"/>
  <c r="E9" i="7" s="1"/>
  <c r="D21" i="7"/>
  <c r="D27" i="7" s="1"/>
  <c r="D9" i="7" s="1"/>
  <c r="C21" i="7"/>
  <c r="C27" i="7" s="1"/>
  <c r="C9" i="7" s="1"/>
  <c r="B21" i="7"/>
  <c r="B27" i="7" s="1"/>
  <c r="B9" i="7" s="1"/>
  <c r="A21" i="7"/>
  <c r="W13" i="7"/>
  <c r="W12" i="7"/>
  <c r="X12" i="7" s="1"/>
  <c r="V12" i="7"/>
  <c r="U12" i="7"/>
  <c r="T12" i="7"/>
  <c r="S12" i="7"/>
  <c r="O12" i="7"/>
  <c r="N12" i="7"/>
  <c r="M12" i="7"/>
  <c r="Q12" i="7" s="1"/>
  <c r="L12" i="7"/>
  <c r="P12" i="7" s="1"/>
  <c r="I12" i="7"/>
  <c r="H12" i="7"/>
  <c r="G12" i="7"/>
  <c r="K12" i="7" s="1"/>
  <c r="F12" i="7"/>
  <c r="J12" i="7" s="1"/>
  <c r="E12" i="7"/>
  <c r="D12" i="7"/>
  <c r="C12" i="7"/>
  <c r="B12" i="7"/>
  <c r="A12" i="7"/>
  <c r="W11" i="7"/>
  <c r="X11" i="7" s="1"/>
  <c r="V11" i="7"/>
  <c r="U11" i="7"/>
  <c r="T11" i="7"/>
  <c r="S11" i="7"/>
  <c r="O11" i="7"/>
  <c r="Q11" i="7" s="1"/>
  <c r="N11" i="7"/>
  <c r="P11" i="7" s="1"/>
  <c r="M11" i="7"/>
  <c r="L11" i="7"/>
  <c r="I11" i="7"/>
  <c r="H11" i="7"/>
  <c r="G11" i="7"/>
  <c r="K11" i="7" s="1"/>
  <c r="F11" i="7"/>
  <c r="J11" i="7" s="1"/>
  <c r="E11" i="7"/>
  <c r="D11" i="7"/>
  <c r="C11" i="7"/>
  <c r="B11" i="7"/>
  <c r="W10" i="7"/>
  <c r="X10" i="7" s="1"/>
  <c r="V10" i="7"/>
  <c r="U10" i="7"/>
  <c r="T10" i="7"/>
  <c r="S10" i="7"/>
  <c r="O10" i="7"/>
  <c r="N10" i="7"/>
  <c r="M10" i="7"/>
  <c r="Q10" i="7" s="1"/>
  <c r="L10" i="7"/>
  <c r="P10" i="7" s="1"/>
  <c r="I10" i="7"/>
  <c r="H10" i="7"/>
  <c r="G10" i="7"/>
  <c r="K10" i="7" s="1"/>
  <c r="F10" i="7"/>
  <c r="J10" i="7" s="1"/>
  <c r="E10" i="7"/>
  <c r="D10" i="7"/>
  <c r="C10" i="7"/>
  <c r="B10" i="7"/>
  <c r="A10" i="7"/>
  <c r="W9" i="7"/>
  <c r="R9" i="7"/>
  <c r="W8" i="7"/>
  <c r="X8" i="7" s="1"/>
  <c r="V8" i="7"/>
  <c r="U8" i="7"/>
  <c r="T8" i="7"/>
  <c r="S8" i="7"/>
  <c r="Q8" i="7"/>
  <c r="P8" i="7"/>
  <c r="I8" i="7"/>
  <c r="K8" i="7" s="1"/>
  <c r="H8" i="7"/>
  <c r="J8" i="7" s="1"/>
  <c r="E8" i="7"/>
  <c r="D8" i="7"/>
  <c r="C8" i="7"/>
  <c r="B8" i="7"/>
  <c r="W7" i="7"/>
  <c r="X7" i="7" s="1"/>
  <c r="V7" i="7"/>
  <c r="U7" i="7"/>
  <c r="T7" i="7"/>
  <c r="S7" i="7"/>
  <c r="Q7" i="7"/>
  <c r="P7" i="7"/>
  <c r="I7" i="7"/>
  <c r="K7" i="7" s="1"/>
  <c r="H7" i="7"/>
  <c r="J7" i="7" s="1"/>
  <c r="E7" i="7"/>
  <c r="D7" i="7"/>
  <c r="C7" i="7"/>
  <c r="B7" i="7"/>
  <c r="W6" i="7"/>
  <c r="X6" i="7" s="1"/>
  <c r="V6" i="7"/>
  <c r="U6" i="7"/>
  <c r="T6" i="7"/>
  <c r="S6" i="7"/>
  <c r="Q6" i="7"/>
  <c r="P6" i="7"/>
  <c r="I6" i="7"/>
  <c r="K6" i="7" s="1"/>
  <c r="H6" i="7"/>
  <c r="J6" i="7" s="1"/>
  <c r="E6" i="7"/>
  <c r="D6" i="7"/>
  <c r="C6" i="7"/>
  <c r="B6" i="7"/>
  <c r="W5" i="7"/>
  <c r="X5" i="7" s="1"/>
  <c r="V5" i="7"/>
  <c r="U5" i="7"/>
  <c r="T5" i="7"/>
  <c r="S5" i="7"/>
  <c r="R5" i="7"/>
  <c r="R15" i="7" s="1"/>
  <c r="Q5" i="7"/>
  <c r="P5" i="7"/>
  <c r="I5" i="7"/>
  <c r="H5" i="7"/>
  <c r="E5" i="7"/>
  <c r="D5" i="7"/>
  <c r="C5" i="7"/>
  <c r="B5" i="7"/>
  <c r="W4" i="7"/>
  <c r="V4" i="7"/>
  <c r="V15" i="7" s="1"/>
  <c r="U4" i="7"/>
  <c r="U15" i="7" s="1"/>
  <c r="T4" i="7"/>
  <c r="S4" i="7"/>
  <c r="S15" i="7" s="1"/>
  <c r="O4" i="7"/>
  <c r="N4" i="7"/>
  <c r="K4" i="7"/>
  <c r="J4" i="7"/>
  <c r="E4" i="7"/>
  <c r="E15" i="7" s="1"/>
  <c r="D4" i="7"/>
  <c r="D15" i="7" s="1"/>
  <c r="C4" i="7"/>
  <c r="C15" i="7" s="1"/>
  <c r="B4" i="7"/>
  <c r="B15" i="7" s="1"/>
  <c r="G177" i="6"/>
  <c r="C175" i="6" s="1"/>
  <c r="G175" i="6"/>
  <c r="F175" i="6"/>
  <c r="G173" i="6"/>
  <c r="F173" i="6"/>
  <c r="C173" i="6"/>
  <c r="B173" i="6"/>
  <c r="G171" i="6"/>
  <c r="F171" i="6"/>
  <c r="F177" i="6" s="1"/>
  <c r="C171" i="6"/>
  <c r="C177" i="6" s="1"/>
  <c r="E177" i="6" s="1"/>
  <c r="B171" i="6"/>
  <c r="B177" i="6" s="1"/>
  <c r="D177" i="6" s="1"/>
  <c r="I163" i="6"/>
  <c r="G162" i="6"/>
  <c r="F162" i="6"/>
  <c r="G160" i="6"/>
  <c r="F160" i="6"/>
  <c r="C160" i="6"/>
  <c r="B160" i="6"/>
  <c r="G158" i="6"/>
  <c r="G166" i="6" s="1"/>
  <c r="C162" i="6" s="1"/>
  <c r="F158" i="6"/>
  <c r="F166" i="6" s="1"/>
  <c r="C158" i="6"/>
  <c r="C166" i="6" s="1"/>
  <c r="E166" i="6" s="1"/>
  <c r="B158" i="6"/>
  <c r="B166" i="6" s="1"/>
  <c r="D166" i="6" s="1"/>
  <c r="G151" i="6"/>
  <c r="F151" i="6"/>
  <c r="G149" i="6"/>
  <c r="F149" i="6"/>
  <c r="C149" i="6"/>
  <c r="B149" i="6"/>
  <c r="G147" i="6"/>
  <c r="G153" i="6" s="1"/>
  <c r="C151" i="6" s="1"/>
  <c r="F147" i="6"/>
  <c r="F153" i="6" s="1"/>
  <c r="C147" i="6"/>
  <c r="B147" i="6"/>
  <c r="B153" i="6" s="1"/>
  <c r="D153" i="6" s="1"/>
  <c r="G138" i="6"/>
  <c r="F138" i="6"/>
  <c r="C138" i="6"/>
  <c r="B138" i="6"/>
  <c r="C136" i="6"/>
  <c r="B136" i="6"/>
  <c r="G134" i="6"/>
  <c r="G142" i="6" s="1"/>
  <c r="C140" i="6" s="1"/>
  <c r="F134" i="6"/>
  <c r="F142" i="6" s="1"/>
  <c r="C134" i="6"/>
  <c r="C142" i="6" s="1"/>
  <c r="E142" i="6" s="1"/>
  <c r="B134" i="6"/>
  <c r="B142" i="6" s="1"/>
  <c r="D142" i="6" s="1"/>
  <c r="A129" i="6"/>
  <c r="A128" i="6"/>
  <c r="G127" i="6"/>
  <c r="A127" i="6"/>
  <c r="A126" i="6"/>
  <c r="D125" i="6"/>
  <c r="E188" i="6" s="1"/>
  <c r="C125" i="6"/>
  <c r="C188" i="6" s="1"/>
  <c r="A125" i="6"/>
  <c r="A188" i="6" s="1"/>
  <c r="D124" i="6"/>
  <c r="E187" i="6" s="1"/>
  <c r="C124" i="6"/>
  <c r="C187" i="6" s="1"/>
  <c r="A124" i="6"/>
  <c r="A187" i="6" s="1"/>
  <c r="D123" i="6"/>
  <c r="E186" i="6" s="1"/>
  <c r="C123" i="6"/>
  <c r="C186" i="6" s="1"/>
  <c r="A123" i="6"/>
  <c r="A186" i="6" s="1"/>
  <c r="D119" i="6"/>
  <c r="D182" i="6" s="1"/>
  <c r="D118" i="6"/>
  <c r="A118" i="6"/>
  <c r="D117" i="6"/>
  <c r="A117" i="6"/>
  <c r="G109" i="6"/>
  <c r="F109" i="6"/>
  <c r="C109" i="6"/>
  <c r="B109" i="6"/>
  <c r="C107" i="6"/>
  <c r="B107" i="6"/>
  <c r="G105" i="6"/>
  <c r="G113" i="6" s="1"/>
  <c r="C111" i="6" s="1"/>
  <c r="F105" i="6"/>
  <c r="F113" i="6" s="1"/>
  <c r="C105" i="6"/>
  <c r="C113" i="6" s="1"/>
  <c r="E113" i="6" s="1"/>
  <c r="B105" i="6"/>
  <c r="B113" i="6" s="1"/>
  <c r="D113" i="6" s="1"/>
  <c r="C94" i="6"/>
  <c r="B94" i="6"/>
  <c r="B100" i="6" s="1"/>
  <c r="C78" i="6"/>
  <c r="B78" i="6"/>
  <c r="B84" i="6" s="1"/>
  <c r="A68" i="6"/>
  <c r="A67" i="6"/>
  <c r="G66" i="6"/>
  <c r="A66" i="6"/>
  <c r="A65" i="6"/>
  <c r="C45" i="6"/>
  <c r="B45" i="6"/>
  <c r="B53" i="6" s="1"/>
  <c r="G43" i="6"/>
  <c r="F43" i="6"/>
  <c r="H41" i="6"/>
  <c r="C28" i="6"/>
  <c r="B28" i="6"/>
  <c r="B36" i="6" s="1"/>
  <c r="F28" i="6" s="1"/>
  <c r="G26" i="6"/>
  <c r="F26" i="6"/>
  <c r="F36" i="6" s="1"/>
  <c r="D36" i="6" s="1"/>
  <c r="G19" i="6"/>
  <c r="C17" i="6" s="1"/>
  <c r="C15" i="6"/>
  <c r="C19" i="6" s="1"/>
  <c r="E19" i="6" s="1"/>
  <c r="B15" i="6"/>
  <c r="B19" i="6" s="1"/>
  <c r="F15" i="6" s="1"/>
  <c r="H11" i="6"/>
  <c r="N89" i="5"/>
  <c r="V87" i="5"/>
  <c r="V89" i="5" s="1"/>
  <c r="U87" i="5"/>
  <c r="U89" i="5" s="1"/>
  <c r="Q87" i="5"/>
  <c r="O87" i="5"/>
  <c r="O89" i="5" s="1"/>
  <c r="I87" i="5"/>
  <c r="I89" i="5" s="1"/>
  <c r="H87" i="5"/>
  <c r="H89" i="5" s="1"/>
  <c r="G87" i="5"/>
  <c r="G89" i="5" s="1"/>
  <c r="F87" i="5"/>
  <c r="F89" i="5" s="1"/>
  <c r="E87" i="5"/>
  <c r="E89" i="5" s="1"/>
  <c r="D87" i="5"/>
  <c r="D89" i="5" s="1"/>
  <c r="C87" i="5"/>
  <c r="B87" i="5"/>
  <c r="S85" i="5"/>
  <c r="M85" i="5"/>
  <c r="N85" i="5" s="1"/>
  <c r="L85" i="5"/>
  <c r="W85" i="5" s="1"/>
  <c r="X85" i="5" s="1"/>
  <c r="K85" i="5"/>
  <c r="J85" i="5"/>
  <c r="S84" i="5"/>
  <c r="M84" i="5"/>
  <c r="N84" i="5" s="1"/>
  <c r="L84" i="5"/>
  <c r="W84" i="5" s="1"/>
  <c r="X84" i="5" s="1"/>
  <c r="K84" i="5"/>
  <c r="J84" i="5"/>
  <c r="S83" i="5"/>
  <c r="M83" i="5"/>
  <c r="N83" i="5" s="1"/>
  <c r="L83" i="5"/>
  <c r="W83" i="5" s="1"/>
  <c r="X83" i="5" s="1"/>
  <c r="K83" i="5"/>
  <c r="J83" i="5"/>
  <c r="S82" i="5"/>
  <c r="S87" i="5" s="1"/>
  <c r="M82" i="5"/>
  <c r="L82" i="5"/>
  <c r="K82" i="5"/>
  <c r="K87" i="5" s="1"/>
  <c r="J82" i="5"/>
  <c r="J87" i="5" s="1"/>
  <c r="V77" i="5"/>
  <c r="U77" i="5"/>
  <c r="Q77" i="5"/>
  <c r="O77" i="5"/>
  <c r="I77" i="5"/>
  <c r="H77" i="5"/>
  <c r="G77" i="5"/>
  <c r="F77" i="5"/>
  <c r="E77" i="5"/>
  <c r="D77" i="5"/>
  <c r="S75" i="5"/>
  <c r="M75" i="5"/>
  <c r="N75" i="5" s="1"/>
  <c r="L75" i="5"/>
  <c r="W75" i="5" s="1"/>
  <c r="X75" i="5" s="1"/>
  <c r="K75" i="5"/>
  <c r="J75" i="5"/>
  <c r="S74" i="5"/>
  <c r="M74" i="5"/>
  <c r="N74" i="5" s="1"/>
  <c r="L74" i="5"/>
  <c r="W74" i="5" s="1"/>
  <c r="X74" i="5" s="1"/>
  <c r="K74" i="5"/>
  <c r="J74" i="5"/>
  <c r="AB73" i="5"/>
  <c r="S73" i="5"/>
  <c r="M73" i="5"/>
  <c r="N73" i="5" s="1"/>
  <c r="L73" i="5"/>
  <c r="W73" i="5" s="1"/>
  <c r="X73" i="5" s="1"/>
  <c r="K73" i="5"/>
  <c r="J73" i="5"/>
  <c r="AB72" i="5"/>
  <c r="S72" i="5"/>
  <c r="M72" i="5"/>
  <c r="N72" i="5" s="1"/>
  <c r="L72" i="5"/>
  <c r="W72" i="5" s="1"/>
  <c r="X72" i="5" s="1"/>
  <c r="K72" i="5"/>
  <c r="J72" i="5"/>
  <c r="S71" i="5"/>
  <c r="M71" i="5"/>
  <c r="N71" i="5" s="1"/>
  <c r="L71" i="5"/>
  <c r="W71" i="5" s="1"/>
  <c r="X71" i="5" s="1"/>
  <c r="K71" i="5"/>
  <c r="J71" i="5"/>
  <c r="S70" i="5"/>
  <c r="M70" i="5"/>
  <c r="N70" i="5" s="1"/>
  <c r="L70" i="5"/>
  <c r="W70" i="5" s="1"/>
  <c r="X70" i="5" s="1"/>
  <c r="K70" i="5"/>
  <c r="J70" i="5"/>
  <c r="S69" i="5"/>
  <c r="K69" i="5"/>
  <c r="J69" i="5"/>
  <c r="C69" i="5"/>
  <c r="M69" i="5" s="1"/>
  <c r="B69" i="5"/>
  <c r="L69" i="5" s="1"/>
  <c r="W69" i="5" s="1"/>
  <c r="S68" i="5"/>
  <c r="M68" i="5"/>
  <c r="N68" i="5" s="1"/>
  <c r="L68" i="5"/>
  <c r="W68" i="5" s="1"/>
  <c r="X68" i="5" s="1"/>
  <c r="K68" i="5"/>
  <c r="J68" i="5"/>
  <c r="AB67" i="5"/>
  <c r="S67" i="5"/>
  <c r="M67" i="5"/>
  <c r="N67" i="5" s="1"/>
  <c r="L67" i="5"/>
  <c r="W67" i="5" s="1"/>
  <c r="X67" i="5" s="1"/>
  <c r="K67" i="5"/>
  <c r="J67" i="5"/>
  <c r="S66" i="5"/>
  <c r="K66" i="5"/>
  <c r="J66" i="5"/>
  <c r="C66" i="5"/>
  <c r="M66" i="5" s="1"/>
  <c r="B66" i="5"/>
  <c r="L66" i="5" s="1"/>
  <c r="W66" i="5" s="1"/>
  <c r="W65" i="5"/>
  <c r="S65" i="5"/>
  <c r="M65" i="5"/>
  <c r="N65" i="5" s="1"/>
  <c r="L65" i="5"/>
  <c r="K65" i="5"/>
  <c r="J65" i="5"/>
  <c r="S64" i="5"/>
  <c r="M64" i="5"/>
  <c r="N64" i="5" s="1"/>
  <c r="L64" i="5"/>
  <c r="W64" i="5" s="1"/>
  <c r="X64" i="5" s="1"/>
  <c r="K64" i="5"/>
  <c r="J64" i="5"/>
  <c r="S63" i="5"/>
  <c r="M63" i="5"/>
  <c r="N63" i="5" s="1"/>
  <c r="L63" i="5"/>
  <c r="W63" i="5" s="1"/>
  <c r="X63" i="5" s="1"/>
  <c r="K63" i="5"/>
  <c r="J63" i="5"/>
  <c r="AB62" i="5"/>
  <c r="S62" i="5"/>
  <c r="M62" i="5"/>
  <c r="N62" i="5" s="1"/>
  <c r="L62" i="5"/>
  <c r="W62" i="5" s="1"/>
  <c r="X62" i="5" s="1"/>
  <c r="K62" i="5"/>
  <c r="J62" i="5"/>
  <c r="S61" i="5"/>
  <c r="M61" i="5"/>
  <c r="N61" i="5" s="1"/>
  <c r="L61" i="5"/>
  <c r="W61" i="5" s="1"/>
  <c r="X61" i="5" s="1"/>
  <c r="K61" i="5"/>
  <c r="J61" i="5"/>
  <c r="S60" i="5"/>
  <c r="S77" i="5" s="1"/>
  <c r="K60" i="5"/>
  <c r="K77" i="5" s="1"/>
  <c r="J60" i="5"/>
  <c r="J77" i="5" s="1"/>
  <c r="C60" i="5"/>
  <c r="B60" i="5"/>
  <c r="X52" i="5"/>
  <c r="A52" i="5"/>
  <c r="A51" i="5"/>
  <c r="A50" i="5"/>
  <c r="V49" i="5"/>
  <c r="U49" i="5"/>
  <c r="O49" i="5"/>
  <c r="I49" i="5"/>
  <c r="H49" i="5"/>
  <c r="G49" i="5"/>
  <c r="F49" i="5"/>
  <c r="E49" i="5"/>
  <c r="D49" i="5"/>
  <c r="S47" i="5"/>
  <c r="M47" i="5"/>
  <c r="N47" i="5" s="1"/>
  <c r="L47" i="5"/>
  <c r="W47" i="5" s="1"/>
  <c r="X47" i="5" s="1"/>
  <c r="K47" i="5"/>
  <c r="J47" i="5"/>
  <c r="S46" i="5"/>
  <c r="M46" i="5"/>
  <c r="N46" i="5" s="1"/>
  <c r="L46" i="5"/>
  <c r="W46" i="5" s="1"/>
  <c r="X46" i="5" s="1"/>
  <c r="K46" i="5"/>
  <c r="J46" i="5"/>
  <c r="S45" i="5"/>
  <c r="M45" i="5"/>
  <c r="N45" i="5" s="1"/>
  <c r="L45" i="5"/>
  <c r="W45" i="5" s="1"/>
  <c r="X45" i="5" s="1"/>
  <c r="K45" i="5"/>
  <c r="J45" i="5"/>
  <c r="S44" i="5"/>
  <c r="M44" i="5"/>
  <c r="N44" i="5" s="1"/>
  <c r="L44" i="5"/>
  <c r="W44" i="5" s="1"/>
  <c r="X44" i="5" s="1"/>
  <c r="K44" i="5"/>
  <c r="J44" i="5"/>
  <c r="S43" i="5"/>
  <c r="M43" i="5"/>
  <c r="N43" i="5" s="1"/>
  <c r="L43" i="5"/>
  <c r="W43" i="5" s="1"/>
  <c r="X43" i="5" s="1"/>
  <c r="K43" i="5"/>
  <c r="J43" i="5"/>
  <c r="S42" i="5"/>
  <c r="M42" i="5"/>
  <c r="N42" i="5" s="1"/>
  <c r="L42" i="5"/>
  <c r="W42" i="5" s="1"/>
  <c r="X42" i="5" s="1"/>
  <c r="K42" i="5"/>
  <c r="J42" i="5"/>
  <c r="S41" i="5"/>
  <c r="K41" i="5"/>
  <c r="J41" i="5"/>
  <c r="C41" i="5"/>
  <c r="M41" i="5" s="1"/>
  <c r="B41" i="5"/>
  <c r="L41" i="5" s="1"/>
  <c r="W41" i="5" s="1"/>
  <c r="S40" i="5"/>
  <c r="M40" i="5"/>
  <c r="N40" i="5" s="1"/>
  <c r="L40" i="5"/>
  <c r="W40" i="5" s="1"/>
  <c r="X40" i="5" s="1"/>
  <c r="K40" i="5"/>
  <c r="J40" i="5"/>
  <c r="S39" i="5"/>
  <c r="M39" i="5"/>
  <c r="N39" i="5" s="1"/>
  <c r="L39" i="5"/>
  <c r="W39" i="5" s="1"/>
  <c r="X39" i="5" s="1"/>
  <c r="K39" i="5"/>
  <c r="J39" i="5"/>
  <c r="S38" i="5"/>
  <c r="M38" i="5"/>
  <c r="N38" i="5" s="1"/>
  <c r="L38" i="5"/>
  <c r="W38" i="5" s="1"/>
  <c r="X38" i="5" s="1"/>
  <c r="K38" i="5"/>
  <c r="J38" i="5"/>
  <c r="S37" i="5"/>
  <c r="M37" i="5"/>
  <c r="N37" i="5" s="1"/>
  <c r="L37" i="5"/>
  <c r="W37" i="5" s="1"/>
  <c r="X37" i="5" s="1"/>
  <c r="K37" i="5"/>
  <c r="J37" i="5"/>
  <c r="S36" i="5"/>
  <c r="M36" i="5"/>
  <c r="N36" i="5" s="1"/>
  <c r="L36" i="5"/>
  <c r="W36" i="5" s="1"/>
  <c r="X36" i="5" s="1"/>
  <c r="K36" i="5"/>
  <c r="J36" i="5"/>
  <c r="S35" i="5"/>
  <c r="M35" i="5"/>
  <c r="N35" i="5" s="1"/>
  <c r="L35" i="5"/>
  <c r="W35" i="5" s="1"/>
  <c r="X35" i="5" s="1"/>
  <c r="K35" i="5"/>
  <c r="J35" i="5"/>
  <c r="S34" i="5"/>
  <c r="K34" i="5"/>
  <c r="J34" i="5"/>
  <c r="C34" i="5"/>
  <c r="M34" i="5" s="1"/>
  <c r="B34" i="5"/>
  <c r="L34" i="5" s="1"/>
  <c r="W34" i="5" s="1"/>
  <c r="S33" i="5"/>
  <c r="K33" i="5"/>
  <c r="J33" i="5"/>
  <c r="C33" i="5"/>
  <c r="M33" i="5" s="1"/>
  <c r="B33" i="5"/>
  <c r="L33" i="5" s="1"/>
  <c r="W33" i="5" s="1"/>
  <c r="S32" i="5"/>
  <c r="M32" i="5"/>
  <c r="N32" i="5" s="1"/>
  <c r="L32" i="5"/>
  <c r="W32" i="5" s="1"/>
  <c r="X32" i="5" s="1"/>
  <c r="K32" i="5"/>
  <c r="J32" i="5"/>
  <c r="S31" i="5"/>
  <c r="M31" i="5"/>
  <c r="N31" i="5" s="1"/>
  <c r="L31" i="5"/>
  <c r="W31" i="5" s="1"/>
  <c r="X31" i="5" s="1"/>
  <c r="K31" i="5"/>
  <c r="J31" i="5"/>
  <c r="S30" i="5"/>
  <c r="K30" i="5"/>
  <c r="J30" i="5"/>
  <c r="C30" i="5"/>
  <c r="M30" i="5" s="1"/>
  <c r="B30" i="5"/>
  <c r="L30" i="5" s="1"/>
  <c r="W30" i="5" s="1"/>
  <c r="S29" i="5"/>
  <c r="N29" i="5"/>
  <c r="M29" i="5"/>
  <c r="L29" i="5"/>
  <c r="W29" i="5" s="1"/>
  <c r="X29" i="5" s="1"/>
  <c r="K29" i="5"/>
  <c r="J29" i="5"/>
  <c r="S28" i="5"/>
  <c r="K28" i="5"/>
  <c r="J28" i="5"/>
  <c r="C28" i="5"/>
  <c r="M28" i="5" s="1"/>
  <c r="B28" i="5"/>
  <c r="L28" i="5" s="1"/>
  <c r="W28" i="5" s="1"/>
  <c r="S27" i="5"/>
  <c r="M27" i="5"/>
  <c r="N27" i="5" s="1"/>
  <c r="L27" i="5"/>
  <c r="W27" i="5" s="1"/>
  <c r="X27" i="5" s="1"/>
  <c r="K27" i="5"/>
  <c r="J27" i="5"/>
  <c r="S26" i="5"/>
  <c r="M26" i="5"/>
  <c r="N26" i="5" s="1"/>
  <c r="L26" i="5"/>
  <c r="W26" i="5" s="1"/>
  <c r="X26" i="5" s="1"/>
  <c r="K26" i="5"/>
  <c r="J26" i="5"/>
  <c r="S25" i="5"/>
  <c r="M25" i="5"/>
  <c r="N25" i="5" s="1"/>
  <c r="L25" i="5"/>
  <c r="W25" i="5" s="1"/>
  <c r="X25" i="5" s="1"/>
  <c r="K25" i="5"/>
  <c r="J25" i="5"/>
  <c r="S24" i="5"/>
  <c r="M24" i="5"/>
  <c r="N24" i="5" s="1"/>
  <c r="L24" i="5"/>
  <c r="W24" i="5" s="1"/>
  <c r="X24" i="5" s="1"/>
  <c r="K24" i="5"/>
  <c r="J24" i="5"/>
  <c r="S23" i="5"/>
  <c r="M23" i="5"/>
  <c r="N23" i="5" s="1"/>
  <c r="L23" i="5"/>
  <c r="W23" i="5" s="1"/>
  <c r="X23" i="5" s="1"/>
  <c r="K23" i="5"/>
  <c r="J23" i="5"/>
  <c r="Q22" i="5"/>
  <c r="K22" i="5"/>
  <c r="J22" i="5"/>
  <c r="C22" i="5"/>
  <c r="M22" i="5" s="1"/>
  <c r="B22" i="5"/>
  <c r="L22" i="5" s="1"/>
  <c r="W22" i="5" s="1"/>
  <c r="S21" i="5"/>
  <c r="M21" i="5"/>
  <c r="N21" i="5" s="1"/>
  <c r="L21" i="5"/>
  <c r="W21" i="5" s="1"/>
  <c r="X21" i="5" s="1"/>
  <c r="K21" i="5"/>
  <c r="J21" i="5"/>
  <c r="S20" i="5"/>
  <c r="M20" i="5"/>
  <c r="N20" i="5" s="1"/>
  <c r="L20" i="5"/>
  <c r="W20" i="5" s="1"/>
  <c r="X20" i="5" s="1"/>
  <c r="K20" i="5"/>
  <c r="J20" i="5"/>
  <c r="S19" i="5"/>
  <c r="M19" i="5"/>
  <c r="N19" i="5" s="1"/>
  <c r="L19" i="5"/>
  <c r="W19" i="5" s="1"/>
  <c r="X19" i="5" s="1"/>
  <c r="K19" i="5"/>
  <c r="J19" i="5"/>
  <c r="S18" i="5"/>
  <c r="M18" i="5"/>
  <c r="N18" i="5" s="1"/>
  <c r="L18" i="5"/>
  <c r="W18" i="5" s="1"/>
  <c r="X18" i="5" s="1"/>
  <c r="K18" i="5"/>
  <c r="J18" i="5"/>
  <c r="S17" i="5"/>
  <c r="K17" i="5"/>
  <c r="J17" i="5"/>
  <c r="C17" i="5"/>
  <c r="B17" i="5"/>
  <c r="S16" i="5"/>
  <c r="M16" i="5"/>
  <c r="N16" i="5" s="1"/>
  <c r="L16" i="5"/>
  <c r="W16" i="5" s="1"/>
  <c r="X16" i="5" s="1"/>
  <c r="K16" i="5"/>
  <c r="K49" i="5" s="1"/>
  <c r="J16" i="5"/>
  <c r="J49" i="5" s="1"/>
  <c r="S15" i="5"/>
  <c r="M15" i="5"/>
  <c r="N15" i="5" s="1"/>
  <c r="L15" i="5"/>
  <c r="W15" i="5" s="1"/>
  <c r="X15" i="5" s="1"/>
  <c r="K15" i="5"/>
  <c r="J15" i="5"/>
  <c r="S14" i="5"/>
  <c r="M14" i="5"/>
  <c r="N14" i="5" s="1"/>
  <c r="L14" i="5"/>
  <c r="W14" i="5" s="1"/>
  <c r="X14" i="5" s="1"/>
  <c r="K14" i="5"/>
  <c r="J14" i="5"/>
  <c r="S13" i="5"/>
  <c r="K13" i="5"/>
  <c r="J13" i="5"/>
  <c r="C13" i="5"/>
  <c r="M13" i="5" s="1"/>
  <c r="B13" i="5"/>
  <c r="L13" i="5" s="1"/>
  <c r="W13" i="5" s="1"/>
  <c r="S12" i="5"/>
  <c r="M12" i="5"/>
  <c r="N12" i="5" s="1"/>
  <c r="L12" i="5"/>
  <c r="W12" i="5" s="1"/>
  <c r="X12" i="5" s="1"/>
  <c r="K12" i="5"/>
  <c r="J12" i="5"/>
  <c r="S11" i="5"/>
  <c r="M11" i="5"/>
  <c r="N11" i="5" s="1"/>
  <c r="L11" i="5"/>
  <c r="W11" i="5" s="1"/>
  <c r="X11" i="5" s="1"/>
  <c r="K11" i="5"/>
  <c r="J11" i="5"/>
  <c r="S10" i="5"/>
  <c r="K10" i="5"/>
  <c r="J10" i="5"/>
  <c r="C10" i="5"/>
  <c r="M10" i="5" s="1"/>
  <c r="B10" i="5"/>
  <c r="L10" i="5" s="1"/>
  <c r="AA7" i="5"/>
  <c r="A3" i="5"/>
  <c r="X2" i="5"/>
  <c r="A2" i="5"/>
  <c r="A1" i="5"/>
  <c r="V40" i="4"/>
  <c r="U40" i="4"/>
  <c r="Q40" i="4"/>
  <c r="O40" i="4"/>
  <c r="I40" i="4"/>
  <c r="H40" i="4"/>
  <c r="G40" i="4"/>
  <c r="F40" i="4"/>
  <c r="E40" i="4"/>
  <c r="D40" i="4"/>
  <c r="S38" i="4"/>
  <c r="K38" i="4"/>
  <c r="M38" i="4" s="1"/>
  <c r="J38" i="4"/>
  <c r="L38" i="4" s="1"/>
  <c r="W38" i="4" s="1"/>
  <c r="S37" i="4"/>
  <c r="K37" i="4"/>
  <c r="M37" i="4" s="1"/>
  <c r="J37" i="4"/>
  <c r="L37" i="4" s="1"/>
  <c r="W37" i="4" s="1"/>
  <c r="S36" i="4"/>
  <c r="K36" i="4"/>
  <c r="M36" i="4" s="1"/>
  <c r="J36" i="4"/>
  <c r="L36" i="4" s="1"/>
  <c r="W36" i="4" s="1"/>
  <c r="S35" i="4"/>
  <c r="K35" i="4"/>
  <c r="M35" i="4" s="1"/>
  <c r="J35" i="4"/>
  <c r="L35" i="4" s="1"/>
  <c r="W35" i="4" s="1"/>
  <c r="S34" i="4"/>
  <c r="K34" i="4"/>
  <c r="M34" i="4" s="1"/>
  <c r="J34" i="4"/>
  <c r="L34" i="4" s="1"/>
  <c r="W34" i="4" s="1"/>
  <c r="S33" i="4"/>
  <c r="K33" i="4"/>
  <c r="M33" i="4" s="1"/>
  <c r="J33" i="4"/>
  <c r="L33" i="4" s="1"/>
  <c r="W33" i="4" s="1"/>
  <c r="S32" i="4"/>
  <c r="K32" i="4"/>
  <c r="M32" i="4" s="1"/>
  <c r="J32" i="4"/>
  <c r="L32" i="4" s="1"/>
  <c r="W32" i="4" s="1"/>
  <c r="S31" i="4"/>
  <c r="K31" i="4"/>
  <c r="M31" i="4" s="1"/>
  <c r="J31" i="4"/>
  <c r="L31" i="4" s="1"/>
  <c r="W31" i="4" s="1"/>
  <c r="S30" i="4"/>
  <c r="K30" i="4"/>
  <c r="M30" i="4" s="1"/>
  <c r="J30" i="4"/>
  <c r="L30" i="4" s="1"/>
  <c r="W30" i="4" s="1"/>
  <c r="S29" i="4"/>
  <c r="K29" i="4"/>
  <c r="M29" i="4" s="1"/>
  <c r="J29" i="4"/>
  <c r="L29" i="4" s="1"/>
  <c r="W29" i="4" s="1"/>
  <c r="S28" i="4"/>
  <c r="K28" i="4"/>
  <c r="M28" i="4" s="1"/>
  <c r="J28" i="4"/>
  <c r="L28" i="4" s="1"/>
  <c r="W28" i="4" s="1"/>
  <c r="S27" i="4"/>
  <c r="K27" i="4"/>
  <c r="M27" i="4" s="1"/>
  <c r="J27" i="4"/>
  <c r="L27" i="4" s="1"/>
  <c r="W27" i="4" s="1"/>
  <c r="S26" i="4"/>
  <c r="K26" i="4"/>
  <c r="M26" i="4" s="1"/>
  <c r="J26" i="4"/>
  <c r="L26" i="4" s="1"/>
  <c r="W26" i="4" s="1"/>
  <c r="S25" i="4"/>
  <c r="K25" i="4"/>
  <c r="M25" i="4" s="1"/>
  <c r="J25" i="4"/>
  <c r="L25" i="4" s="1"/>
  <c r="W25" i="4" s="1"/>
  <c r="S24" i="4"/>
  <c r="K24" i="4"/>
  <c r="M24" i="4" s="1"/>
  <c r="J24" i="4"/>
  <c r="L24" i="4" s="1"/>
  <c r="W24" i="4" s="1"/>
  <c r="S23" i="4"/>
  <c r="K23" i="4"/>
  <c r="M23" i="4" s="1"/>
  <c r="J23" i="4"/>
  <c r="L23" i="4" s="1"/>
  <c r="W23" i="4" s="1"/>
  <c r="S22" i="4"/>
  <c r="K22" i="4"/>
  <c r="M22" i="4" s="1"/>
  <c r="J22" i="4"/>
  <c r="L22" i="4" s="1"/>
  <c r="W22" i="4" s="1"/>
  <c r="S21" i="4"/>
  <c r="K21" i="4"/>
  <c r="M21" i="4" s="1"/>
  <c r="J21" i="4"/>
  <c r="L21" i="4" s="1"/>
  <c r="W21" i="4" s="1"/>
  <c r="S20" i="4"/>
  <c r="K20" i="4"/>
  <c r="M20" i="4" s="1"/>
  <c r="J20" i="4"/>
  <c r="L20" i="4" s="1"/>
  <c r="W20" i="4" s="1"/>
  <c r="S19" i="4"/>
  <c r="K19" i="4"/>
  <c r="M19" i="4" s="1"/>
  <c r="J19" i="4"/>
  <c r="L19" i="4" s="1"/>
  <c r="W19" i="4" s="1"/>
  <c r="S18" i="4"/>
  <c r="K18" i="4"/>
  <c r="M18" i="4" s="1"/>
  <c r="J18" i="4"/>
  <c r="L18" i="4" s="1"/>
  <c r="W18" i="4" s="1"/>
  <c r="S17" i="4"/>
  <c r="K17" i="4"/>
  <c r="J17" i="4"/>
  <c r="C17" i="4"/>
  <c r="M17" i="4" s="1"/>
  <c r="B17" i="4"/>
  <c r="L17" i="4" s="1"/>
  <c r="W17" i="4" s="1"/>
  <c r="S16" i="4"/>
  <c r="K16" i="4"/>
  <c r="M16" i="4" s="1"/>
  <c r="J16" i="4"/>
  <c r="L16" i="4" s="1"/>
  <c r="W16" i="4" s="1"/>
  <c r="S15" i="4"/>
  <c r="K15" i="4"/>
  <c r="M15" i="4" s="1"/>
  <c r="J15" i="4"/>
  <c r="L15" i="4" s="1"/>
  <c r="W15" i="4" s="1"/>
  <c r="S14" i="4"/>
  <c r="K14" i="4"/>
  <c r="M14" i="4" s="1"/>
  <c r="J14" i="4"/>
  <c r="L14" i="4" s="1"/>
  <c r="W14" i="4" s="1"/>
  <c r="S13" i="4"/>
  <c r="K13" i="4"/>
  <c r="J13" i="4"/>
  <c r="C13" i="4"/>
  <c r="M13" i="4" s="1"/>
  <c r="B13" i="4"/>
  <c r="L13" i="4" s="1"/>
  <c r="W13" i="4" s="1"/>
  <c r="S12" i="4"/>
  <c r="K12" i="4"/>
  <c r="J12" i="4"/>
  <c r="C12" i="4"/>
  <c r="M12" i="4" s="1"/>
  <c r="B12" i="4"/>
  <c r="L12" i="4" s="1"/>
  <c r="W12" i="4" s="1"/>
  <c r="S11" i="4"/>
  <c r="K11" i="4"/>
  <c r="M11" i="4" s="1"/>
  <c r="J11" i="4"/>
  <c r="L11" i="4" s="1"/>
  <c r="W11" i="4" s="1"/>
  <c r="S10" i="4"/>
  <c r="S40" i="4" s="1"/>
  <c r="K10" i="4"/>
  <c r="K40" i="4" s="1"/>
  <c r="J10" i="4"/>
  <c r="J40" i="4" s="1"/>
  <c r="C10" i="4"/>
  <c r="B10" i="4"/>
  <c r="AA7" i="4"/>
  <c r="A3" i="4"/>
  <c r="X2" i="4"/>
  <c r="A2" i="4"/>
  <c r="A1" i="4"/>
  <c r="V39" i="3"/>
  <c r="U39" i="3"/>
  <c r="Q39" i="3"/>
  <c r="O39" i="3"/>
  <c r="I39" i="3"/>
  <c r="H39" i="3"/>
  <c r="G39" i="3"/>
  <c r="F39" i="3"/>
  <c r="E39" i="3"/>
  <c r="D39" i="3"/>
  <c r="S37" i="3"/>
  <c r="K37" i="3"/>
  <c r="M37" i="3" s="1"/>
  <c r="J37" i="3"/>
  <c r="L37" i="3" s="1"/>
  <c r="W37" i="3" s="1"/>
  <c r="S36" i="3"/>
  <c r="K36" i="3"/>
  <c r="M36" i="3" s="1"/>
  <c r="N36" i="3" s="1"/>
  <c r="J36" i="3"/>
  <c r="L36" i="3" s="1"/>
  <c r="W36" i="3" s="1"/>
  <c r="S35" i="3"/>
  <c r="K35" i="3"/>
  <c r="M35" i="3" s="1"/>
  <c r="J35" i="3"/>
  <c r="L35" i="3" s="1"/>
  <c r="W35" i="3" s="1"/>
  <c r="S34" i="3"/>
  <c r="K34" i="3"/>
  <c r="M34" i="3" s="1"/>
  <c r="J34" i="3"/>
  <c r="L34" i="3" s="1"/>
  <c r="W34" i="3" s="1"/>
  <c r="S33" i="3"/>
  <c r="K33" i="3"/>
  <c r="M33" i="3" s="1"/>
  <c r="J33" i="3"/>
  <c r="L33" i="3" s="1"/>
  <c r="W33" i="3" s="1"/>
  <c r="S32" i="3"/>
  <c r="K32" i="3"/>
  <c r="M32" i="3" s="1"/>
  <c r="J32" i="3"/>
  <c r="L32" i="3" s="1"/>
  <c r="W32" i="3" s="1"/>
  <c r="S31" i="3"/>
  <c r="K31" i="3"/>
  <c r="M31" i="3" s="1"/>
  <c r="J31" i="3"/>
  <c r="L31" i="3" s="1"/>
  <c r="W31" i="3" s="1"/>
  <c r="S30" i="3"/>
  <c r="K30" i="3"/>
  <c r="M30" i="3" s="1"/>
  <c r="J30" i="3"/>
  <c r="L30" i="3" s="1"/>
  <c r="W30" i="3" s="1"/>
  <c r="S29" i="3"/>
  <c r="K29" i="3"/>
  <c r="M29" i="3" s="1"/>
  <c r="J29" i="3"/>
  <c r="L29" i="3" s="1"/>
  <c r="W29" i="3" s="1"/>
  <c r="S28" i="3"/>
  <c r="K28" i="3"/>
  <c r="M28" i="3" s="1"/>
  <c r="N28" i="3" s="1"/>
  <c r="J28" i="3"/>
  <c r="L28" i="3" s="1"/>
  <c r="W28" i="3" s="1"/>
  <c r="X28" i="3" s="1"/>
  <c r="S27" i="3"/>
  <c r="K27" i="3"/>
  <c r="M27" i="3" s="1"/>
  <c r="N27" i="3" s="1"/>
  <c r="J27" i="3"/>
  <c r="L27" i="3" s="1"/>
  <c r="W27" i="3" s="1"/>
  <c r="X27" i="3" s="1"/>
  <c r="S26" i="3"/>
  <c r="K26" i="3"/>
  <c r="M26" i="3" s="1"/>
  <c r="N26" i="3" s="1"/>
  <c r="J26" i="3"/>
  <c r="L26" i="3" s="1"/>
  <c r="W26" i="3" s="1"/>
  <c r="X26" i="3" s="1"/>
  <c r="S25" i="3"/>
  <c r="K25" i="3"/>
  <c r="M25" i="3" s="1"/>
  <c r="J25" i="3"/>
  <c r="L25" i="3" s="1"/>
  <c r="W25" i="3" s="1"/>
  <c r="S24" i="3"/>
  <c r="K24" i="3"/>
  <c r="M24" i="3" s="1"/>
  <c r="J24" i="3"/>
  <c r="L24" i="3" s="1"/>
  <c r="W24" i="3" s="1"/>
  <c r="S23" i="3"/>
  <c r="K23" i="3"/>
  <c r="M23" i="3" s="1"/>
  <c r="J23" i="3"/>
  <c r="L23" i="3" s="1"/>
  <c r="W23" i="3" s="1"/>
  <c r="S22" i="3"/>
  <c r="K22" i="3"/>
  <c r="M22" i="3" s="1"/>
  <c r="J22" i="3"/>
  <c r="L22" i="3" s="1"/>
  <c r="W22" i="3" s="1"/>
  <c r="S21" i="3"/>
  <c r="K21" i="3"/>
  <c r="M21" i="3" s="1"/>
  <c r="J21" i="3"/>
  <c r="L21" i="3" s="1"/>
  <c r="W21" i="3" s="1"/>
  <c r="S20" i="3"/>
  <c r="K20" i="3"/>
  <c r="M20" i="3" s="1"/>
  <c r="J20" i="3"/>
  <c r="L20" i="3" s="1"/>
  <c r="W20" i="3" s="1"/>
  <c r="S19" i="3"/>
  <c r="K19" i="3"/>
  <c r="M19" i="3" s="1"/>
  <c r="N19" i="3" s="1"/>
  <c r="J19" i="3"/>
  <c r="L19" i="3" s="1"/>
  <c r="W19" i="3" s="1"/>
  <c r="X19" i="3" s="1"/>
  <c r="S18" i="3"/>
  <c r="K18" i="3"/>
  <c r="M18" i="3" s="1"/>
  <c r="J18" i="3"/>
  <c r="L18" i="3" s="1"/>
  <c r="W18" i="3" s="1"/>
  <c r="S17" i="3"/>
  <c r="K17" i="3"/>
  <c r="J17" i="3"/>
  <c r="C17" i="3"/>
  <c r="M17" i="3" s="1"/>
  <c r="N17" i="3" s="1"/>
  <c r="B17" i="3"/>
  <c r="L17" i="3" s="1"/>
  <c r="W17" i="3" s="1"/>
  <c r="X17" i="3" s="1"/>
  <c r="S16" i="3"/>
  <c r="K16" i="3"/>
  <c r="M16" i="3" s="1"/>
  <c r="N16" i="3" s="1"/>
  <c r="J16" i="3"/>
  <c r="L16" i="3" s="1"/>
  <c r="W16" i="3" s="1"/>
  <c r="X16" i="3" s="1"/>
  <c r="S15" i="3"/>
  <c r="K15" i="3"/>
  <c r="M15" i="3" s="1"/>
  <c r="J15" i="3"/>
  <c r="L15" i="3" s="1"/>
  <c r="W15" i="3" s="1"/>
  <c r="S14" i="3"/>
  <c r="K14" i="3"/>
  <c r="M14" i="3" s="1"/>
  <c r="N14" i="3" s="1"/>
  <c r="J14" i="3"/>
  <c r="L14" i="3" s="1"/>
  <c r="W14" i="3" s="1"/>
  <c r="X14" i="3" s="1"/>
  <c r="S13" i="3"/>
  <c r="K13" i="3"/>
  <c r="M13" i="3" s="1"/>
  <c r="N13" i="3" s="1"/>
  <c r="J13" i="3"/>
  <c r="L13" i="3" s="1"/>
  <c r="W13" i="3" s="1"/>
  <c r="X13" i="3" s="1"/>
  <c r="S12" i="3"/>
  <c r="K12" i="3"/>
  <c r="J12" i="3"/>
  <c r="C12" i="3"/>
  <c r="M12" i="3" s="1"/>
  <c r="B12" i="3"/>
  <c r="L12" i="3" s="1"/>
  <c r="W12" i="3" s="1"/>
  <c r="S11" i="3"/>
  <c r="S39" i="3" s="1"/>
  <c r="K11" i="3"/>
  <c r="K39" i="3" s="1"/>
  <c r="J11" i="3"/>
  <c r="J39" i="3" s="1"/>
  <c r="C11" i="3"/>
  <c r="B11" i="3"/>
  <c r="AA7" i="3"/>
  <c r="A3" i="3"/>
  <c r="X2" i="3"/>
  <c r="A2" i="3"/>
  <c r="A1" i="3"/>
  <c r="Q62" i="2"/>
  <c r="O62" i="2"/>
  <c r="I62" i="2"/>
  <c r="H62" i="2"/>
  <c r="G62" i="2"/>
  <c r="F62" i="2"/>
  <c r="E62" i="2"/>
  <c r="D62" i="2"/>
  <c r="S60" i="2"/>
  <c r="K60" i="2"/>
  <c r="M60" i="2" s="1"/>
  <c r="J60" i="2"/>
  <c r="L60" i="2" s="1"/>
  <c r="W60" i="2" s="1"/>
  <c r="S59" i="2"/>
  <c r="K59" i="2"/>
  <c r="M59" i="2" s="1"/>
  <c r="J59" i="2"/>
  <c r="L59" i="2" s="1"/>
  <c r="W59" i="2" s="1"/>
  <c r="S58" i="2"/>
  <c r="K58" i="2"/>
  <c r="J58" i="2"/>
  <c r="C58" i="2"/>
  <c r="M58" i="2" s="1"/>
  <c r="B58" i="2"/>
  <c r="L58" i="2" s="1"/>
  <c r="W58" i="2" s="1"/>
  <c r="S57" i="2"/>
  <c r="K57" i="2"/>
  <c r="M57" i="2" s="1"/>
  <c r="J57" i="2"/>
  <c r="L57" i="2" s="1"/>
  <c r="W57" i="2" s="1"/>
  <c r="S56" i="2"/>
  <c r="K56" i="2"/>
  <c r="M56" i="2" s="1"/>
  <c r="J56" i="2"/>
  <c r="L56" i="2" s="1"/>
  <c r="W56" i="2" s="1"/>
  <c r="S55" i="2"/>
  <c r="K55" i="2"/>
  <c r="M55" i="2" s="1"/>
  <c r="J55" i="2"/>
  <c r="L55" i="2" s="1"/>
  <c r="W55" i="2" s="1"/>
  <c r="S54" i="2"/>
  <c r="K54" i="2"/>
  <c r="J54" i="2"/>
  <c r="C54" i="2"/>
  <c r="M54" i="2" s="1"/>
  <c r="B54" i="2"/>
  <c r="L54" i="2" s="1"/>
  <c r="W54" i="2" s="1"/>
  <c r="S53" i="2"/>
  <c r="K53" i="2"/>
  <c r="M53" i="2" s="1"/>
  <c r="J53" i="2"/>
  <c r="L53" i="2" s="1"/>
  <c r="W53" i="2" s="1"/>
  <c r="S52" i="2"/>
  <c r="K52" i="2"/>
  <c r="M52" i="2" s="1"/>
  <c r="J52" i="2"/>
  <c r="L52" i="2" s="1"/>
  <c r="W52" i="2" s="1"/>
  <c r="S51" i="2"/>
  <c r="K51" i="2"/>
  <c r="M51" i="2" s="1"/>
  <c r="J51" i="2"/>
  <c r="L51" i="2" s="1"/>
  <c r="W51" i="2" s="1"/>
  <c r="C51" i="2"/>
  <c r="B51" i="2"/>
  <c r="S50" i="2"/>
  <c r="K50" i="2"/>
  <c r="M50" i="2" s="1"/>
  <c r="J50" i="2"/>
  <c r="L50" i="2" s="1"/>
  <c r="W50" i="2" s="1"/>
  <c r="S49" i="2"/>
  <c r="K49" i="2"/>
  <c r="J49" i="2"/>
  <c r="C49" i="2"/>
  <c r="M49" i="2" s="1"/>
  <c r="B49" i="2"/>
  <c r="L49" i="2" s="1"/>
  <c r="W49" i="2" s="1"/>
  <c r="S48" i="2"/>
  <c r="K48" i="2"/>
  <c r="M48" i="2" s="1"/>
  <c r="J48" i="2"/>
  <c r="L48" i="2" s="1"/>
  <c r="W48" i="2" s="1"/>
  <c r="S47" i="2"/>
  <c r="K47" i="2"/>
  <c r="M47" i="2" s="1"/>
  <c r="J47" i="2"/>
  <c r="L47" i="2" s="1"/>
  <c r="W47" i="2" s="1"/>
  <c r="S46" i="2"/>
  <c r="K46" i="2"/>
  <c r="M46" i="2" s="1"/>
  <c r="J46" i="2"/>
  <c r="L46" i="2" s="1"/>
  <c r="W46" i="2" s="1"/>
  <c r="S45" i="2"/>
  <c r="K45" i="2"/>
  <c r="J45" i="2"/>
  <c r="C45" i="2"/>
  <c r="M45" i="2" s="1"/>
  <c r="B45" i="2"/>
  <c r="L45" i="2" s="1"/>
  <c r="W45" i="2" s="1"/>
  <c r="S44" i="2"/>
  <c r="K44" i="2"/>
  <c r="J44" i="2"/>
  <c r="C44" i="2"/>
  <c r="M44" i="2" s="1"/>
  <c r="B44" i="2"/>
  <c r="L44" i="2" s="1"/>
  <c r="W44" i="2" s="1"/>
  <c r="S43" i="2"/>
  <c r="K43" i="2"/>
  <c r="M43" i="2" s="1"/>
  <c r="J43" i="2"/>
  <c r="L43" i="2" s="1"/>
  <c r="W43" i="2" s="1"/>
  <c r="S42" i="2"/>
  <c r="K42" i="2"/>
  <c r="M42" i="2" s="1"/>
  <c r="J42" i="2"/>
  <c r="L42" i="2" s="1"/>
  <c r="W42" i="2" s="1"/>
  <c r="S41" i="2"/>
  <c r="K41" i="2"/>
  <c r="M41" i="2" s="1"/>
  <c r="J41" i="2"/>
  <c r="L41" i="2" s="1"/>
  <c r="W41" i="2" s="1"/>
  <c r="S40" i="2"/>
  <c r="K40" i="2"/>
  <c r="J40" i="2"/>
  <c r="C40" i="2"/>
  <c r="M40" i="2" s="1"/>
  <c r="B40" i="2"/>
  <c r="L40" i="2" s="1"/>
  <c r="W40" i="2" s="1"/>
  <c r="S39" i="2"/>
  <c r="K39" i="2"/>
  <c r="M39" i="2" s="1"/>
  <c r="J39" i="2"/>
  <c r="L39" i="2" s="1"/>
  <c r="W39" i="2" s="1"/>
  <c r="S38" i="2"/>
  <c r="K38" i="2"/>
  <c r="M38" i="2" s="1"/>
  <c r="J38" i="2"/>
  <c r="L38" i="2" s="1"/>
  <c r="W38" i="2" s="1"/>
  <c r="S37" i="2"/>
  <c r="K37" i="2"/>
  <c r="M37" i="2" s="1"/>
  <c r="J37" i="2"/>
  <c r="L37" i="2" s="1"/>
  <c r="W37" i="2" s="1"/>
  <c r="S36" i="2"/>
  <c r="K36" i="2"/>
  <c r="M36" i="2" s="1"/>
  <c r="J36" i="2"/>
  <c r="L36" i="2" s="1"/>
  <c r="W36" i="2" s="1"/>
  <c r="S35" i="2"/>
  <c r="K35" i="2"/>
  <c r="J35" i="2"/>
  <c r="C35" i="2"/>
  <c r="M35" i="2" s="1"/>
  <c r="B35" i="2"/>
  <c r="L35" i="2" s="1"/>
  <c r="W35" i="2" s="1"/>
  <c r="S34" i="2"/>
  <c r="K34" i="2"/>
  <c r="M34" i="2" s="1"/>
  <c r="J34" i="2"/>
  <c r="L34" i="2" s="1"/>
  <c r="W34" i="2" s="1"/>
  <c r="S33" i="2"/>
  <c r="K33" i="2"/>
  <c r="M33" i="2" s="1"/>
  <c r="J33" i="2"/>
  <c r="L33" i="2" s="1"/>
  <c r="W33" i="2" s="1"/>
  <c r="S32" i="2"/>
  <c r="K32" i="2"/>
  <c r="M32" i="2" s="1"/>
  <c r="J32" i="2"/>
  <c r="L32" i="2" s="1"/>
  <c r="W32" i="2" s="1"/>
  <c r="S31" i="2"/>
  <c r="K31" i="2"/>
  <c r="M31" i="2" s="1"/>
  <c r="J31" i="2"/>
  <c r="L31" i="2" s="1"/>
  <c r="W31" i="2" s="1"/>
  <c r="S30" i="2"/>
  <c r="K30" i="2"/>
  <c r="M30" i="2" s="1"/>
  <c r="J30" i="2"/>
  <c r="L30" i="2" s="1"/>
  <c r="W30" i="2" s="1"/>
  <c r="S29" i="2"/>
  <c r="K29" i="2"/>
  <c r="M29" i="2" s="1"/>
  <c r="J29" i="2"/>
  <c r="L29" i="2" s="1"/>
  <c r="W29" i="2" s="1"/>
  <c r="S28" i="2"/>
  <c r="K28" i="2"/>
  <c r="M28" i="2" s="1"/>
  <c r="J28" i="2"/>
  <c r="L28" i="2" s="1"/>
  <c r="W28" i="2" s="1"/>
  <c r="S27" i="2"/>
  <c r="K27" i="2"/>
  <c r="M27" i="2" s="1"/>
  <c r="J27" i="2"/>
  <c r="L27" i="2" s="1"/>
  <c r="W27" i="2" s="1"/>
  <c r="S26" i="2"/>
  <c r="K26" i="2"/>
  <c r="M26" i="2" s="1"/>
  <c r="J26" i="2"/>
  <c r="L26" i="2" s="1"/>
  <c r="W26" i="2" s="1"/>
  <c r="S25" i="2"/>
  <c r="K25" i="2"/>
  <c r="M25" i="2" s="1"/>
  <c r="J25" i="2"/>
  <c r="L25" i="2" s="1"/>
  <c r="W25" i="2" s="1"/>
  <c r="S24" i="2"/>
  <c r="K24" i="2"/>
  <c r="M24" i="2" s="1"/>
  <c r="J24" i="2"/>
  <c r="L24" i="2" s="1"/>
  <c r="W24" i="2" s="1"/>
  <c r="S23" i="2"/>
  <c r="K23" i="2"/>
  <c r="J23" i="2"/>
  <c r="C23" i="2"/>
  <c r="M23" i="2" s="1"/>
  <c r="B23" i="2"/>
  <c r="L23" i="2" s="1"/>
  <c r="W23" i="2" s="1"/>
  <c r="S22" i="2"/>
  <c r="K22" i="2"/>
  <c r="M22" i="2" s="1"/>
  <c r="J22" i="2"/>
  <c r="L22" i="2" s="1"/>
  <c r="W22" i="2" s="1"/>
  <c r="S21" i="2"/>
  <c r="K21" i="2"/>
  <c r="M21" i="2" s="1"/>
  <c r="J21" i="2"/>
  <c r="L21" i="2" s="1"/>
  <c r="W21" i="2" s="1"/>
  <c r="S20" i="2"/>
  <c r="K20" i="2"/>
  <c r="M20" i="2" s="1"/>
  <c r="J20" i="2"/>
  <c r="L20" i="2" s="1"/>
  <c r="W20" i="2" s="1"/>
  <c r="S19" i="2"/>
  <c r="K19" i="2"/>
  <c r="J19" i="2"/>
  <c r="C19" i="2"/>
  <c r="M19" i="2" s="1"/>
  <c r="B19" i="2"/>
  <c r="L19" i="2" s="1"/>
  <c r="W19" i="2" s="1"/>
  <c r="S18" i="2"/>
  <c r="K18" i="2"/>
  <c r="M18" i="2" s="1"/>
  <c r="J18" i="2"/>
  <c r="L18" i="2" s="1"/>
  <c r="W18" i="2" s="1"/>
  <c r="S17" i="2"/>
  <c r="K17" i="2"/>
  <c r="M17" i="2" s="1"/>
  <c r="J17" i="2"/>
  <c r="L17" i="2" s="1"/>
  <c r="W17" i="2" s="1"/>
  <c r="S16" i="2"/>
  <c r="K16" i="2"/>
  <c r="J16" i="2"/>
  <c r="C16" i="2"/>
  <c r="M16" i="2" s="1"/>
  <c r="B16" i="2"/>
  <c r="L16" i="2" s="1"/>
  <c r="W16" i="2" s="1"/>
  <c r="S15" i="2"/>
  <c r="K15" i="2"/>
  <c r="M15" i="2" s="1"/>
  <c r="J15" i="2"/>
  <c r="L15" i="2" s="1"/>
  <c r="W15" i="2" s="1"/>
  <c r="S14" i="2"/>
  <c r="K14" i="2"/>
  <c r="M14" i="2" s="1"/>
  <c r="J14" i="2"/>
  <c r="L14" i="2" s="1"/>
  <c r="W14" i="2" s="1"/>
  <c r="S13" i="2"/>
  <c r="K13" i="2"/>
  <c r="J13" i="2"/>
  <c r="C13" i="2"/>
  <c r="M13" i="2" s="1"/>
  <c r="B13" i="2"/>
  <c r="L13" i="2" s="1"/>
  <c r="W13" i="2" s="1"/>
  <c r="S12" i="2"/>
  <c r="K12" i="2"/>
  <c r="M12" i="2" s="1"/>
  <c r="J12" i="2"/>
  <c r="L12" i="2" s="1"/>
  <c r="W12" i="2" s="1"/>
  <c r="V11" i="2"/>
  <c r="U11" i="2"/>
  <c r="S11" i="2"/>
  <c r="K11" i="2"/>
  <c r="J11" i="2"/>
  <c r="C11" i="2"/>
  <c r="M11" i="2" s="1"/>
  <c r="B11" i="2"/>
  <c r="L11" i="2" s="1"/>
  <c r="W11" i="2" s="1"/>
  <c r="V10" i="2"/>
  <c r="V62" i="2" s="1"/>
  <c r="U10" i="2"/>
  <c r="U62" i="2" s="1"/>
  <c r="S10" i="2"/>
  <c r="S62" i="2" s="1"/>
  <c r="K10" i="2"/>
  <c r="K62" i="2" s="1"/>
  <c r="J10" i="2"/>
  <c r="J62" i="2" s="1"/>
  <c r="C10" i="2"/>
  <c r="B10" i="2"/>
  <c r="AA6" i="2"/>
  <c r="A4" i="2"/>
  <c r="A3" i="2"/>
  <c r="X2" i="2"/>
  <c r="A2" i="2"/>
  <c r="A1" i="2"/>
  <c r="V81" i="1"/>
  <c r="U81" i="1"/>
  <c r="Q81" i="1"/>
  <c r="O81" i="1"/>
  <c r="I81" i="1"/>
  <c r="H81" i="1"/>
  <c r="G81" i="1"/>
  <c r="F81" i="1"/>
  <c r="E81" i="1"/>
  <c r="D81" i="1"/>
  <c r="C81" i="1"/>
  <c r="B81" i="1"/>
  <c r="S79" i="1"/>
  <c r="K79" i="1"/>
  <c r="M79" i="1" s="1"/>
  <c r="J79" i="1"/>
  <c r="L79" i="1" s="1"/>
  <c r="W79" i="1" s="1"/>
  <c r="S78" i="1"/>
  <c r="K78" i="1"/>
  <c r="M78" i="1" s="1"/>
  <c r="N78" i="1" s="1"/>
  <c r="J78" i="1"/>
  <c r="L78" i="1" s="1"/>
  <c r="W78" i="1" s="1"/>
  <c r="S77" i="1"/>
  <c r="K77" i="1"/>
  <c r="M77" i="1" s="1"/>
  <c r="J77" i="1"/>
  <c r="L77" i="1" s="1"/>
  <c r="W77" i="1" s="1"/>
  <c r="S76" i="1"/>
  <c r="K76" i="1"/>
  <c r="M76" i="1" s="1"/>
  <c r="J76" i="1"/>
  <c r="L76" i="1" s="1"/>
  <c r="W76" i="1" s="1"/>
  <c r="S75" i="1"/>
  <c r="K75" i="1"/>
  <c r="M75" i="1" s="1"/>
  <c r="J75" i="1"/>
  <c r="L75" i="1" s="1"/>
  <c r="W75" i="1" s="1"/>
  <c r="S74" i="1"/>
  <c r="K74" i="1"/>
  <c r="M74" i="1" s="1"/>
  <c r="J74" i="1"/>
  <c r="L74" i="1" s="1"/>
  <c r="W74" i="1" s="1"/>
  <c r="S73" i="1"/>
  <c r="K73" i="1"/>
  <c r="M73" i="1" s="1"/>
  <c r="J73" i="1"/>
  <c r="L73" i="1" s="1"/>
  <c r="W73" i="1" s="1"/>
  <c r="S72" i="1"/>
  <c r="K72" i="1"/>
  <c r="M72" i="1" s="1"/>
  <c r="J72" i="1"/>
  <c r="L72" i="1" s="1"/>
  <c r="W72" i="1" s="1"/>
  <c r="S71" i="1"/>
  <c r="K71" i="1"/>
  <c r="M71" i="1" s="1"/>
  <c r="J71" i="1"/>
  <c r="L71" i="1" s="1"/>
  <c r="W71" i="1" s="1"/>
  <c r="S70" i="1"/>
  <c r="K70" i="1"/>
  <c r="M70" i="1" s="1"/>
  <c r="J70" i="1"/>
  <c r="L70" i="1" s="1"/>
  <c r="W70" i="1" s="1"/>
  <c r="S69" i="1"/>
  <c r="K69" i="1"/>
  <c r="M69" i="1" s="1"/>
  <c r="J69" i="1"/>
  <c r="L69" i="1" s="1"/>
  <c r="W69" i="1" s="1"/>
  <c r="S68" i="1"/>
  <c r="K68" i="1"/>
  <c r="M68" i="1" s="1"/>
  <c r="J68" i="1"/>
  <c r="L68" i="1" s="1"/>
  <c r="W68" i="1" s="1"/>
  <c r="S67" i="1"/>
  <c r="K67" i="1"/>
  <c r="M67" i="1" s="1"/>
  <c r="N67" i="1" s="1"/>
  <c r="J67" i="1"/>
  <c r="L67" i="1" s="1"/>
  <c r="W67" i="1" s="1"/>
  <c r="S66" i="1"/>
  <c r="K66" i="1"/>
  <c r="M66" i="1" s="1"/>
  <c r="J66" i="1"/>
  <c r="L66" i="1" s="1"/>
  <c r="W66" i="1" s="1"/>
  <c r="S65" i="1"/>
  <c r="K65" i="1"/>
  <c r="M65" i="1" s="1"/>
  <c r="J65" i="1"/>
  <c r="L65" i="1" s="1"/>
  <c r="W65" i="1" s="1"/>
  <c r="S64" i="1"/>
  <c r="K64" i="1"/>
  <c r="M64" i="1" s="1"/>
  <c r="J64" i="1"/>
  <c r="L64" i="1" s="1"/>
  <c r="W64" i="1" s="1"/>
  <c r="S63" i="1"/>
  <c r="K63" i="1"/>
  <c r="M63" i="1" s="1"/>
  <c r="J63" i="1"/>
  <c r="L63" i="1" s="1"/>
  <c r="W63" i="1" s="1"/>
  <c r="S62" i="1"/>
  <c r="K62" i="1"/>
  <c r="M62" i="1" s="1"/>
  <c r="J62" i="1"/>
  <c r="L62" i="1" s="1"/>
  <c r="W62" i="1" s="1"/>
  <c r="S61" i="1"/>
  <c r="S81" i="1" s="1"/>
  <c r="K61" i="1"/>
  <c r="J61" i="1"/>
  <c r="AA57" i="1"/>
  <c r="V50" i="1"/>
  <c r="V84" i="1" s="1"/>
  <c r="U50" i="1"/>
  <c r="U84" i="1" s="1"/>
  <c r="Q50" i="1"/>
  <c r="Q84" i="1" s="1"/>
  <c r="O50" i="1"/>
  <c r="O84" i="1" s="1"/>
  <c r="I50" i="1"/>
  <c r="I84" i="1" s="1"/>
  <c r="H50" i="1"/>
  <c r="H84" i="1" s="1"/>
  <c r="G50" i="1"/>
  <c r="G84" i="1" s="1"/>
  <c r="F50" i="1"/>
  <c r="F84" i="1" s="1"/>
  <c r="E50" i="1"/>
  <c r="E84" i="1" s="1"/>
  <c r="D50" i="1"/>
  <c r="D84" i="1" s="1"/>
  <c r="C50" i="1"/>
  <c r="B50" i="1"/>
  <c r="S48" i="1"/>
  <c r="K48" i="1"/>
  <c r="M48" i="1" s="1"/>
  <c r="N48" i="1" s="1"/>
  <c r="J48" i="1"/>
  <c r="L48" i="1" s="1"/>
  <c r="W48" i="1" s="1"/>
  <c r="X48" i="1" s="1"/>
  <c r="S47" i="1"/>
  <c r="K47" i="1"/>
  <c r="M47" i="1" s="1"/>
  <c r="J47" i="1"/>
  <c r="L47" i="1" s="1"/>
  <c r="W47" i="1" s="1"/>
  <c r="S46" i="1"/>
  <c r="K46" i="1"/>
  <c r="M46" i="1" s="1"/>
  <c r="J46" i="1"/>
  <c r="L46" i="1" s="1"/>
  <c r="W46" i="1" s="1"/>
  <c r="S45" i="1"/>
  <c r="K45" i="1"/>
  <c r="M45" i="1" s="1"/>
  <c r="N45" i="1" s="1"/>
  <c r="J45" i="1"/>
  <c r="L45" i="1" s="1"/>
  <c r="W45" i="1" s="1"/>
  <c r="X45" i="1" s="1"/>
  <c r="S44" i="1"/>
  <c r="K44" i="1"/>
  <c r="M44" i="1" s="1"/>
  <c r="J44" i="1"/>
  <c r="L44" i="1" s="1"/>
  <c r="W44" i="1" s="1"/>
  <c r="S43" i="1"/>
  <c r="K43" i="1"/>
  <c r="M43" i="1" s="1"/>
  <c r="J43" i="1"/>
  <c r="L43" i="1" s="1"/>
  <c r="W43" i="1" s="1"/>
  <c r="S42" i="1"/>
  <c r="K42" i="1"/>
  <c r="M42" i="1" s="1"/>
  <c r="J42" i="1"/>
  <c r="L42" i="1" s="1"/>
  <c r="W42" i="1" s="1"/>
  <c r="S41" i="1"/>
  <c r="K41" i="1"/>
  <c r="M41" i="1" s="1"/>
  <c r="J41" i="1"/>
  <c r="L41" i="1" s="1"/>
  <c r="W41" i="1" s="1"/>
  <c r="S40" i="1"/>
  <c r="K40" i="1"/>
  <c r="M40" i="1" s="1"/>
  <c r="J40" i="1"/>
  <c r="L40" i="1" s="1"/>
  <c r="W40" i="1" s="1"/>
  <c r="S39" i="1"/>
  <c r="K39" i="1"/>
  <c r="M39" i="1" s="1"/>
  <c r="J39" i="1"/>
  <c r="L39" i="1" s="1"/>
  <c r="W39" i="1" s="1"/>
  <c r="S38" i="1"/>
  <c r="K38" i="1"/>
  <c r="M38" i="1" s="1"/>
  <c r="J38" i="1"/>
  <c r="L38" i="1" s="1"/>
  <c r="W38" i="1" s="1"/>
  <c r="S37" i="1"/>
  <c r="K37" i="1"/>
  <c r="J37" i="1"/>
  <c r="S36" i="1"/>
  <c r="S50" i="1" s="1"/>
  <c r="K36" i="1"/>
  <c r="M36" i="1" s="1"/>
  <c r="J36" i="1"/>
  <c r="L36" i="1" s="1"/>
  <c r="W36" i="1" s="1"/>
  <c r="S35" i="1"/>
  <c r="K35" i="1"/>
  <c r="M35" i="1" s="1"/>
  <c r="J35" i="1"/>
  <c r="L35" i="1" s="1"/>
  <c r="V32" i="1"/>
  <c r="U32" i="1"/>
  <c r="Q32" i="1"/>
  <c r="O32" i="1"/>
  <c r="I32" i="1"/>
  <c r="H32" i="1"/>
  <c r="G32" i="1"/>
  <c r="F32" i="1"/>
  <c r="E32" i="1"/>
  <c r="D32" i="1"/>
  <c r="S30" i="1"/>
  <c r="K30" i="1"/>
  <c r="J30" i="1"/>
  <c r="C30" i="1"/>
  <c r="M30" i="1" s="1"/>
  <c r="B30" i="1"/>
  <c r="L30" i="1" s="1"/>
  <c r="W30" i="1" s="1"/>
  <c r="S29" i="1"/>
  <c r="S32" i="1" s="1"/>
  <c r="K29" i="1"/>
  <c r="K32" i="1" s="1"/>
  <c r="J29" i="1"/>
  <c r="J32" i="1" s="1"/>
  <c r="C29" i="1"/>
  <c r="B29" i="1"/>
  <c r="V26" i="1"/>
  <c r="U26" i="1"/>
  <c r="Q26" i="1"/>
  <c r="O26" i="1"/>
  <c r="I26" i="1"/>
  <c r="H26" i="1"/>
  <c r="G26" i="1"/>
  <c r="F26" i="1"/>
  <c r="E26" i="1"/>
  <c r="D26" i="1"/>
  <c r="C26" i="1"/>
  <c r="B26" i="1"/>
  <c r="S24" i="1"/>
  <c r="K24" i="1"/>
  <c r="M24" i="1" s="1"/>
  <c r="J24" i="1"/>
  <c r="L24" i="1" s="1"/>
  <c r="W24" i="1" s="1"/>
  <c r="S23" i="1"/>
  <c r="S26" i="1" s="1"/>
  <c r="K23" i="1"/>
  <c r="J23" i="1"/>
  <c r="S22" i="1"/>
  <c r="K22" i="1"/>
  <c r="M22" i="1" s="1"/>
  <c r="J22" i="1"/>
  <c r="L22" i="1" s="1"/>
  <c r="W22" i="1" s="1"/>
  <c r="S21" i="1"/>
  <c r="K21" i="1"/>
  <c r="M21" i="1" s="1"/>
  <c r="J21" i="1"/>
  <c r="L21" i="1" s="1"/>
  <c r="W21" i="1" s="1"/>
  <c r="S20" i="1"/>
  <c r="K20" i="1"/>
  <c r="M20" i="1" s="1"/>
  <c r="J20" i="1"/>
  <c r="L20" i="1" s="1"/>
  <c r="W20" i="1" s="1"/>
  <c r="S19" i="1"/>
  <c r="K19" i="1"/>
  <c r="M19" i="1" s="1"/>
  <c r="J19" i="1"/>
  <c r="L19" i="1" s="1"/>
  <c r="W19" i="1" s="1"/>
  <c r="S18" i="1"/>
  <c r="K18" i="1"/>
  <c r="M18" i="1" s="1"/>
  <c r="J18" i="1"/>
  <c r="L18" i="1" s="1"/>
  <c r="W18" i="1" s="1"/>
  <c r="S17" i="1"/>
  <c r="K17" i="1"/>
  <c r="M17" i="1" s="1"/>
  <c r="J17" i="1"/>
  <c r="L17" i="1" s="1"/>
  <c r="W17" i="1" s="1"/>
  <c r="S16" i="1"/>
  <c r="K16" i="1"/>
  <c r="M16" i="1" s="1"/>
  <c r="J16" i="1"/>
  <c r="L16" i="1" s="1"/>
  <c r="W16" i="1" s="1"/>
  <c r="S15" i="1"/>
  <c r="K15" i="1"/>
  <c r="M15" i="1" s="1"/>
  <c r="J15" i="1"/>
  <c r="L15" i="1" s="1"/>
  <c r="W15" i="1" s="1"/>
  <c r="S14" i="1"/>
  <c r="K14" i="1"/>
  <c r="M14" i="1" s="1"/>
  <c r="J14" i="1"/>
  <c r="L14" i="1" s="1"/>
  <c r="W14" i="1" s="1"/>
  <c r="S13" i="1"/>
  <c r="K13" i="1"/>
  <c r="M13" i="1" s="1"/>
  <c r="J13" i="1"/>
  <c r="L13" i="1" s="1"/>
  <c r="V10" i="1"/>
  <c r="U10" i="1"/>
  <c r="Q10" i="1"/>
  <c r="O10" i="1"/>
  <c r="I10" i="1"/>
  <c r="H10" i="1"/>
  <c r="G10" i="1"/>
  <c r="F10" i="1"/>
  <c r="E10" i="1"/>
  <c r="D10" i="1"/>
  <c r="S8" i="1"/>
  <c r="S10" i="1" s="1"/>
  <c r="M8" i="1"/>
  <c r="K8" i="1"/>
  <c r="K10" i="1" s="1"/>
  <c r="J8" i="1"/>
  <c r="J10" i="1" s="1"/>
  <c r="C8" i="1"/>
  <c r="C10" i="1" s="1"/>
  <c r="B8" i="1"/>
  <c r="A3" i="1"/>
  <c r="A54" i="1" s="1"/>
  <c r="X2" i="1"/>
  <c r="X53" i="1" s="1"/>
  <c r="A2" i="1"/>
  <c r="A53" i="1" s="1"/>
  <c r="A1" i="1"/>
  <c r="A52" i="1" s="1"/>
  <c r="T34" i="7" l="1"/>
  <c r="T13" i="7" s="1"/>
  <c r="X13" i="7" s="1"/>
  <c r="G34" i="7"/>
  <c r="G13" i="7" s="1"/>
  <c r="K13" i="7" s="1"/>
  <c r="K30" i="7"/>
  <c r="F34" i="7"/>
  <c r="F13" i="7" s="1"/>
  <c r="J13" i="7" s="1"/>
  <c r="J30" i="7"/>
  <c r="J34" i="7" s="1"/>
  <c r="T27" i="7"/>
  <c r="T9" i="7" s="1"/>
  <c r="Q21" i="7"/>
  <c r="M27" i="7"/>
  <c r="M9" i="7" s="1"/>
  <c r="L27" i="7"/>
  <c r="L9" i="7" s="1"/>
  <c r="P21" i="7"/>
  <c r="P27" i="7" s="1"/>
  <c r="G27" i="7"/>
  <c r="G9" i="7" s="1"/>
  <c r="K21" i="7"/>
  <c r="K27" i="7" s="1"/>
  <c r="F27" i="7"/>
  <c r="F9" i="7" s="1"/>
  <c r="J21" i="7"/>
  <c r="J27" i="7" s="1"/>
  <c r="I15" i="7"/>
  <c r="K5" i="7"/>
  <c r="J5" i="7"/>
  <c r="H15" i="7"/>
  <c r="W15" i="7"/>
  <c r="X4" i="7"/>
  <c r="O15" i="7"/>
  <c r="Q4" i="7"/>
  <c r="P4" i="7"/>
  <c r="N15" i="7"/>
  <c r="W32" i="7"/>
  <c r="X32" i="7" s="1"/>
  <c r="W31" i="7"/>
  <c r="X31" i="7" s="1"/>
  <c r="W25" i="7"/>
  <c r="X25" i="7" s="1"/>
  <c r="W24" i="7"/>
  <c r="X24" i="7" s="1"/>
  <c r="W23" i="7"/>
  <c r="X23" i="7" s="1"/>
  <c r="W22" i="7"/>
  <c r="X22" i="7" s="1"/>
  <c r="F92" i="6"/>
  <c r="F76" i="6"/>
  <c r="D84" i="6"/>
  <c r="G45" i="6"/>
  <c r="F45" i="6"/>
  <c r="F53" i="6" s="1"/>
  <c r="D53" i="6" s="1"/>
  <c r="G28" i="6"/>
  <c r="G36" i="6" s="1"/>
  <c r="C34" i="6" s="1"/>
  <c r="C36" i="6"/>
  <c r="E36" i="6" s="1"/>
  <c r="H15" i="6"/>
  <c r="F19" i="6"/>
  <c r="D19" i="6" s="1"/>
  <c r="C153" i="6"/>
  <c r="E153" i="6" s="1"/>
  <c r="R85" i="5"/>
  <c r="Y85" i="5" s="1"/>
  <c r="Z85" i="5" s="1"/>
  <c r="AB85" i="5" s="1"/>
  <c r="P85" i="5"/>
  <c r="T85" i="5" s="1"/>
  <c r="R84" i="5"/>
  <c r="Y84" i="5" s="1"/>
  <c r="Z84" i="5" s="1"/>
  <c r="AB84" i="5" s="1"/>
  <c r="P84" i="5"/>
  <c r="T84" i="5" s="1"/>
  <c r="P83" i="5"/>
  <c r="R83" i="5"/>
  <c r="Y83" i="5" s="1"/>
  <c r="Z83" i="5" s="1"/>
  <c r="AB83" i="5" s="1"/>
  <c r="M87" i="5"/>
  <c r="N82" i="5"/>
  <c r="L87" i="5"/>
  <c r="W82" i="5"/>
  <c r="R75" i="5"/>
  <c r="Y75" i="5" s="1"/>
  <c r="Z75" i="5" s="1"/>
  <c r="AB75" i="5" s="1"/>
  <c r="P75" i="5"/>
  <c r="T75" i="5" s="1"/>
  <c r="R74" i="5"/>
  <c r="Y74" i="5" s="1"/>
  <c r="Z74" i="5" s="1"/>
  <c r="AB74" i="5" s="1"/>
  <c r="P74" i="5"/>
  <c r="T74" i="5" s="1"/>
  <c r="R73" i="5"/>
  <c r="Y73" i="5" s="1"/>
  <c r="P73" i="5"/>
  <c r="T73" i="5" s="1"/>
  <c r="R72" i="5"/>
  <c r="Y72" i="5" s="1"/>
  <c r="P72" i="5"/>
  <c r="T72" i="5" s="1"/>
  <c r="R71" i="5"/>
  <c r="Y71" i="5" s="1"/>
  <c r="Z71" i="5" s="1"/>
  <c r="AB71" i="5" s="1"/>
  <c r="P71" i="5"/>
  <c r="T71" i="5" s="1"/>
  <c r="P70" i="5"/>
  <c r="R70" i="5"/>
  <c r="Y70" i="5" s="1"/>
  <c r="Z70" i="5" s="1"/>
  <c r="AB70" i="5" s="1"/>
  <c r="R68" i="5"/>
  <c r="Y68" i="5" s="1"/>
  <c r="Z68" i="5" s="1"/>
  <c r="AB68" i="5" s="1"/>
  <c r="P68" i="5"/>
  <c r="T68" i="5" s="1"/>
  <c r="P67" i="5"/>
  <c r="T67" i="5" s="1"/>
  <c r="R67" i="5"/>
  <c r="Y67" i="5" s="1"/>
  <c r="P65" i="5"/>
  <c r="T65" i="5" s="1"/>
  <c r="R65" i="5"/>
  <c r="P64" i="5"/>
  <c r="R64" i="5"/>
  <c r="Y64" i="5" s="1"/>
  <c r="Z64" i="5" s="1"/>
  <c r="AB64" i="5" s="1"/>
  <c r="P63" i="5"/>
  <c r="R63" i="5"/>
  <c r="Y63" i="5" s="1"/>
  <c r="Z63" i="5" s="1"/>
  <c r="AB63" i="5" s="1"/>
  <c r="P62" i="5"/>
  <c r="R62" i="5"/>
  <c r="Y62" i="5" s="1"/>
  <c r="P61" i="5"/>
  <c r="R61" i="5"/>
  <c r="Y61" i="5" s="1"/>
  <c r="Z61" i="5" s="1"/>
  <c r="AB61" i="5" s="1"/>
  <c r="M60" i="5"/>
  <c r="C77" i="5"/>
  <c r="L60" i="5"/>
  <c r="B77" i="5"/>
  <c r="R47" i="5"/>
  <c r="Y47" i="5" s="1"/>
  <c r="Z47" i="5" s="1"/>
  <c r="AB47" i="5" s="1"/>
  <c r="P47" i="5"/>
  <c r="T47" i="5" s="1"/>
  <c r="P46" i="5"/>
  <c r="R46" i="5"/>
  <c r="Y46" i="5" s="1"/>
  <c r="Z46" i="5" s="1"/>
  <c r="AB46" i="5" s="1"/>
  <c r="R45" i="5"/>
  <c r="Y45" i="5" s="1"/>
  <c r="Z45" i="5" s="1"/>
  <c r="AB45" i="5" s="1"/>
  <c r="P45" i="5"/>
  <c r="T45" i="5" s="1"/>
  <c r="P44" i="5"/>
  <c r="T44" i="5" s="1"/>
  <c r="R44" i="5"/>
  <c r="Y44" i="5" s="1"/>
  <c r="Z44" i="5" s="1"/>
  <c r="AB44" i="5" s="1"/>
  <c r="R43" i="5"/>
  <c r="Y43" i="5" s="1"/>
  <c r="Z43" i="5" s="1"/>
  <c r="AB43" i="5" s="1"/>
  <c r="P43" i="5"/>
  <c r="T43" i="5" s="1"/>
  <c r="R42" i="5"/>
  <c r="Y42" i="5" s="1"/>
  <c r="Z42" i="5" s="1"/>
  <c r="AB42" i="5" s="1"/>
  <c r="P42" i="5"/>
  <c r="T42" i="5" s="1"/>
  <c r="P40" i="5"/>
  <c r="R40" i="5"/>
  <c r="Y40" i="5" s="1"/>
  <c r="Z40" i="5" s="1"/>
  <c r="AB40" i="5" s="1"/>
  <c r="P39" i="5"/>
  <c r="R39" i="5"/>
  <c r="Y39" i="5" s="1"/>
  <c r="Z39" i="5" s="1"/>
  <c r="AB39" i="5" s="1"/>
  <c r="R38" i="5"/>
  <c r="Y38" i="5" s="1"/>
  <c r="Z38" i="5" s="1"/>
  <c r="AB38" i="5" s="1"/>
  <c r="P38" i="5"/>
  <c r="T38" i="5" s="1"/>
  <c r="R37" i="5"/>
  <c r="Y37" i="5" s="1"/>
  <c r="Z37" i="5" s="1"/>
  <c r="AB37" i="5" s="1"/>
  <c r="P37" i="5"/>
  <c r="T37" i="5" s="1"/>
  <c r="P36" i="5"/>
  <c r="R36" i="5"/>
  <c r="Y36" i="5" s="1"/>
  <c r="Z36" i="5" s="1"/>
  <c r="AB36" i="5" s="1"/>
  <c r="P35" i="5"/>
  <c r="R35" i="5"/>
  <c r="Y35" i="5" s="1"/>
  <c r="Z35" i="5" s="1"/>
  <c r="AB35" i="5" s="1"/>
  <c r="R32" i="5"/>
  <c r="Y32" i="5" s="1"/>
  <c r="Z32" i="5" s="1"/>
  <c r="AB32" i="5" s="1"/>
  <c r="P32" i="5"/>
  <c r="T32" i="5" s="1"/>
  <c r="R31" i="5"/>
  <c r="Y31" i="5" s="1"/>
  <c r="Z31" i="5" s="1"/>
  <c r="AB31" i="5" s="1"/>
  <c r="P31" i="5"/>
  <c r="T31" i="5" s="1"/>
  <c r="R29" i="5"/>
  <c r="Y29" i="5" s="1"/>
  <c r="Z29" i="5" s="1"/>
  <c r="AB29" i="5" s="1"/>
  <c r="P29" i="5"/>
  <c r="T29" i="5" s="1"/>
  <c r="P27" i="5"/>
  <c r="R27" i="5"/>
  <c r="Y27" i="5" s="1"/>
  <c r="Z27" i="5" s="1"/>
  <c r="AB27" i="5" s="1"/>
  <c r="P26" i="5"/>
  <c r="R26" i="5"/>
  <c r="Y26" i="5" s="1"/>
  <c r="Z26" i="5" s="1"/>
  <c r="AB26" i="5" s="1"/>
  <c r="P25" i="5"/>
  <c r="R25" i="5"/>
  <c r="Y25" i="5" s="1"/>
  <c r="Z25" i="5" s="1"/>
  <c r="AB25" i="5" s="1"/>
  <c r="R24" i="5"/>
  <c r="Y24" i="5" s="1"/>
  <c r="Z24" i="5" s="1"/>
  <c r="AB24" i="5" s="1"/>
  <c r="P24" i="5"/>
  <c r="T24" i="5" s="1"/>
  <c r="P23" i="5"/>
  <c r="R23" i="5"/>
  <c r="Y23" i="5" s="1"/>
  <c r="Z23" i="5" s="1"/>
  <c r="AB23" i="5" s="1"/>
  <c r="S22" i="5"/>
  <c r="S49" i="5" s="1"/>
  <c r="S89" i="5" s="1"/>
  <c r="R22" i="5"/>
  <c r="Q49" i="5"/>
  <c r="Q89" i="5" s="1"/>
  <c r="P21" i="5"/>
  <c r="R21" i="5"/>
  <c r="Y21" i="5" s="1"/>
  <c r="Z21" i="5" s="1"/>
  <c r="AB21" i="5" s="1"/>
  <c r="R20" i="5"/>
  <c r="Y20" i="5" s="1"/>
  <c r="Z20" i="5" s="1"/>
  <c r="AB20" i="5" s="1"/>
  <c r="P20" i="5"/>
  <c r="T20" i="5" s="1"/>
  <c r="R19" i="5"/>
  <c r="Y19" i="5" s="1"/>
  <c r="Z19" i="5" s="1"/>
  <c r="AB19" i="5" s="1"/>
  <c r="P19" i="5"/>
  <c r="T19" i="5" s="1"/>
  <c r="P18" i="5"/>
  <c r="R18" i="5"/>
  <c r="Y18" i="5" s="1"/>
  <c r="Z18" i="5" s="1"/>
  <c r="AB18" i="5" s="1"/>
  <c r="C49" i="5"/>
  <c r="M17" i="5"/>
  <c r="M49" i="5" s="1"/>
  <c r="L17" i="5"/>
  <c r="B49" i="5"/>
  <c r="R16" i="5"/>
  <c r="Y16" i="5" s="1"/>
  <c r="Z16" i="5" s="1"/>
  <c r="AB16" i="5" s="1"/>
  <c r="P16" i="5"/>
  <c r="T16" i="5" s="1"/>
  <c r="P15" i="5"/>
  <c r="R15" i="5"/>
  <c r="Y15" i="5" s="1"/>
  <c r="Z15" i="5" s="1"/>
  <c r="AB15" i="5" s="1"/>
  <c r="P14" i="5"/>
  <c r="T14" i="5" s="1"/>
  <c r="R14" i="5"/>
  <c r="Y14" i="5" s="1"/>
  <c r="Z14" i="5" s="1"/>
  <c r="AB14" i="5" s="1"/>
  <c r="P12" i="5"/>
  <c r="T12" i="5" s="1"/>
  <c r="R12" i="5"/>
  <c r="Y12" i="5" s="1"/>
  <c r="Z12" i="5" s="1"/>
  <c r="AB12" i="5" s="1"/>
  <c r="P11" i="5"/>
  <c r="R11" i="5"/>
  <c r="Y11" i="5" s="1"/>
  <c r="Z11" i="5" s="1"/>
  <c r="AB11" i="5" s="1"/>
  <c r="N10" i="5"/>
  <c r="W10" i="5"/>
  <c r="N41" i="5"/>
  <c r="N34" i="5"/>
  <c r="N33" i="5"/>
  <c r="N30" i="5"/>
  <c r="N28" i="5"/>
  <c r="N22" i="5"/>
  <c r="N13" i="5"/>
  <c r="K89" i="5"/>
  <c r="J89" i="5"/>
  <c r="N69" i="5"/>
  <c r="N66" i="5"/>
  <c r="X65" i="5"/>
  <c r="C40" i="4"/>
  <c r="M10" i="4"/>
  <c r="B40" i="4"/>
  <c r="L10" i="4"/>
  <c r="N38" i="4"/>
  <c r="N37" i="4"/>
  <c r="N36" i="4"/>
  <c r="N35" i="4"/>
  <c r="N34" i="4"/>
  <c r="N33" i="4"/>
  <c r="N32" i="4"/>
  <c r="N31" i="4"/>
  <c r="N30" i="4"/>
  <c r="N29" i="4"/>
  <c r="N28" i="4"/>
  <c r="N25" i="4"/>
  <c r="N23" i="4"/>
  <c r="N22" i="4"/>
  <c r="N19" i="4"/>
  <c r="N16" i="4"/>
  <c r="N15" i="4"/>
  <c r="N13" i="4"/>
  <c r="N27" i="4"/>
  <c r="N26" i="4"/>
  <c r="N24" i="4"/>
  <c r="N21" i="4"/>
  <c r="N20" i="4"/>
  <c r="N18" i="4"/>
  <c r="N17" i="4"/>
  <c r="N14" i="4"/>
  <c r="N12" i="4"/>
  <c r="N11" i="4"/>
  <c r="P36" i="3"/>
  <c r="R36" i="3"/>
  <c r="R28" i="3"/>
  <c r="P28" i="3"/>
  <c r="T28" i="3" s="1"/>
  <c r="Y28" i="3" s="1"/>
  <c r="Z28" i="3" s="1"/>
  <c r="AB28" i="3" s="1"/>
  <c r="P27" i="3"/>
  <c r="R27" i="3"/>
  <c r="R26" i="3"/>
  <c r="P26" i="3"/>
  <c r="T26" i="3" s="1"/>
  <c r="Y26" i="3" s="1"/>
  <c r="Z26" i="3" s="1"/>
  <c r="AB26" i="3" s="1"/>
  <c r="R19" i="3"/>
  <c r="P19" i="3"/>
  <c r="T19" i="3" s="1"/>
  <c r="Y19" i="3" s="1"/>
  <c r="Z19" i="3" s="1"/>
  <c r="AB19" i="3" s="1"/>
  <c r="R17" i="3"/>
  <c r="P17" i="3"/>
  <c r="T17" i="3" s="1"/>
  <c r="Y17" i="3" s="1"/>
  <c r="Z17" i="3" s="1"/>
  <c r="AB17" i="3" s="1"/>
  <c r="P16" i="3"/>
  <c r="R16" i="3"/>
  <c r="P14" i="3"/>
  <c r="T14" i="3" s="1"/>
  <c r="Y14" i="3" s="1"/>
  <c r="Z14" i="3" s="1"/>
  <c r="AB14" i="3" s="1"/>
  <c r="R14" i="3"/>
  <c r="P13" i="3"/>
  <c r="T13" i="3" s="1"/>
  <c r="Y13" i="3" s="1"/>
  <c r="Z13" i="3" s="1"/>
  <c r="AB13" i="3" s="1"/>
  <c r="R13" i="3"/>
  <c r="C39" i="3"/>
  <c r="M11" i="3"/>
  <c r="B39" i="3"/>
  <c r="L11" i="3"/>
  <c r="N35" i="3"/>
  <c r="N32" i="3"/>
  <c r="N24" i="3"/>
  <c r="N23" i="3"/>
  <c r="N18" i="3"/>
  <c r="N21" i="3"/>
  <c r="N15" i="3"/>
  <c r="N12" i="3"/>
  <c r="N34" i="3"/>
  <c r="N33" i="3"/>
  <c r="N31" i="3"/>
  <c r="N30" i="3"/>
  <c r="N29" i="3"/>
  <c r="N25" i="3"/>
  <c r="N22" i="3"/>
  <c r="N20" i="3"/>
  <c r="N37" i="3"/>
  <c r="X36" i="3"/>
  <c r="M10" i="2"/>
  <c r="C62" i="2"/>
  <c r="B62" i="2"/>
  <c r="L10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11" i="2"/>
  <c r="N22" i="2"/>
  <c r="N21" i="2"/>
  <c r="N20" i="2"/>
  <c r="N19" i="2"/>
  <c r="N18" i="2"/>
  <c r="N17" i="2"/>
  <c r="N16" i="2"/>
  <c r="N15" i="2"/>
  <c r="N14" i="2"/>
  <c r="N13" i="2"/>
  <c r="N12" i="2"/>
  <c r="N60" i="2"/>
  <c r="N59" i="2"/>
  <c r="N58" i="2"/>
  <c r="N57" i="2"/>
  <c r="N56" i="2"/>
  <c r="N55" i="2"/>
  <c r="N54" i="2"/>
  <c r="N53" i="2"/>
  <c r="N52" i="2"/>
  <c r="N51" i="2"/>
  <c r="N50" i="2"/>
  <c r="N49" i="2"/>
  <c r="N23" i="2"/>
  <c r="P78" i="1"/>
  <c r="R78" i="1"/>
  <c r="R67" i="1"/>
  <c r="P67" i="1"/>
  <c r="T67" i="1" s="1"/>
  <c r="M61" i="1"/>
  <c r="K81" i="1"/>
  <c r="L61" i="1"/>
  <c r="J81" i="1"/>
  <c r="P48" i="1"/>
  <c r="T48" i="1" s="1"/>
  <c r="Y48" i="1" s="1"/>
  <c r="Z48" i="1" s="1"/>
  <c r="AB48" i="1" s="1"/>
  <c r="R48" i="1"/>
  <c r="P45" i="1"/>
  <c r="R45" i="1"/>
  <c r="M37" i="1"/>
  <c r="K50" i="1"/>
  <c r="J50" i="1"/>
  <c r="L37" i="1"/>
  <c r="W37" i="1" s="1"/>
  <c r="N35" i="1"/>
  <c r="M50" i="1"/>
  <c r="W35" i="1"/>
  <c r="L50" i="1"/>
  <c r="C32" i="1"/>
  <c r="C84" i="1" s="1"/>
  <c r="M29" i="1"/>
  <c r="B32" i="1"/>
  <c r="B84" i="1" s="1"/>
  <c r="L29" i="1"/>
  <c r="M23" i="1"/>
  <c r="K26" i="1"/>
  <c r="L23" i="1"/>
  <c r="W23" i="1" s="1"/>
  <c r="J26" i="1"/>
  <c r="N13" i="1"/>
  <c r="M26" i="1"/>
  <c r="W13" i="1"/>
  <c r="L26" i="1"/>
  <c r="N8" i="1"/>
  <c r="M10" i="1"/>
  <c r="L8" i="1"/>
  <c r="B10" i="1"/>
  <c r="N79" i="1"/>
  <c r="X67" i="1"/>
  <c r="N64" i="1"/>
  <c r="N46" i="1"/>
  <c r="N44" i="1"/>
  <c r="N71" i="1"/>
  <c r="N62" i="1"/>
  <c r="N43" i="1"/>
  <c r="N42" i="1"/>
  <c r="N41" i="1"/>
  <c r="N40" i="1"/>
  <c r="N39" i="1"/>
  <c r="N38" i="1"/>
  <c r="S84" i="1"/>
  <c r="N36" i="1"/>
  <c r="N15" i="1"/>
  <c r="N30" i="1"/>
  <c r="N24" i="1"/>
  <c r="N22" i="1"/>
  <c r="N21" i="1"/>
  <c r="N20" i="1"/>
  <c r="N19" i="1"/>
  <c r="N18" i="1"/>
  <c r="N17" i="1"/>
  <c r="N16" i="1"/>
  <c r="N14" i="1"/>
  <c r="N72" i="1"/>
  <c r="N69" i="1"/>
  <c r="N68" i="1"/>
  <c r="N66" i="1"/>
  <c r="N63" i="1"/>
  <c r="N47" i="1"/>
  <c r="X78" i="1"/>
  <c r="N77" i="1"/>
  <c r="N76" i="1"/>
  <c r="N75" i="1"/>
  <c r="N74" i="1"/>
  <c r="N73" i="1"/>
  <c r="N70" i="1"/>
  <c r="N65" i="1"/>
  <c r="T15" i="7" l="1"/>
  <c r="X15" i="7" s="1"/>
  <c r="X9" i="7"/>
  <c r="Q9" i="7"/>
  <c r="Q15" i="7" s="1"/>
  <c r="M15" i="7"/>
  <c r="P9" i="7"/>
  <c r="P15" i="7" s="1"/>
  <c r="L15" i="7"/>
  <c r="K9" i="7"/>
  <c r="K15" i="7" s="1"/>
  <c r="G15" i="7"/>
  <c r="J9" i="7"/>
  <c r="J15" i="7" s="1"/>
  <c r="F15" i="7"/>
  <c r="K34" i="7"/>
  <c r="W30" i="7"/>
  <c r="Q27" i="7"/>
  <c r="W21" i="7"/>
  <c r="G53" i="6"/>
  <c r="C51" i="6" s="1"/>
  <c r="C53" i="6" s="1"/>
  <c r="E53" i="6" s="1"/>
  <c r="H45" i="6"/>
  <c r="F100" i="6"/>
  <c r="D100" i="6" s="1"/>
  <c r="G92" i="6"/>
  <c r="G100" i="6" s="1"/>
  <c r="F84" i="6"/>
  <c r="G76" i="6"/>
  <c r="G84" i="6" s="1"/>
  <c r="C82" i="6" s="1"/>
  <c r="C84" i="6" s="1"/>
  <c r="E84" i="6" s="1"/>
  <c r="R82" i="5"/>
  <c r="R87" i="5" s="1"/>
  <c r="P82" i="5"/>
  <c r="X82" i="5"/>
  <c r="W87" i="5"/>
  <c r="N60" i="5"/>
  <c r="M77" i="5"/>
  <c r="M89" i="5" s="1"/>
  <c r="W60" i="5"/>
  <c r="L77" i="5"/>
  <c r="P10" i="5"/>
  <c r="R10" i="5"/>
  <c r="X10" i="5"/>
  <c r="W49" i="5"/>
  <c r="P41" i="5"/>
  <c r="R41" i="5"/>
  <c r="X41" i="5"/>
  <c r="Y41" i="5" s="1"/>
  <c r="Z41" i="5" s="1"/>
  <c r="AB41" i="5" s="1"/>
  <c r="R34" i="5"/>
  <c r="P34" i="5"/>
  <c r="T34" i="5" s="1"/>
  <c r="X34" i="5"/>
  <c r="Y34" i="5" s="1"/>
  <c r="Z34" i="5" s="1"/>
  <c r="AB34" i="5" s="1"/>
  <c r="P33" i="5"/>
  <c r="R33" i="5"/>
  <c r="X33" i="5"/>
  <c r="Y33" i="5" s="1"/>
  <c r="Z33" i="5" s="1"/>
  <c r="AB33" i="5" s="1"/>
  <c r="R30" i="5"/>
  <c r="P30" i="5"/>
  <c r="T30" i="5" s="1"/>
  <c r="X30" i="5"/>
  <c r="Y30" i="5" s="1"/>
  <c r="Z30" i="5" s="1"/>
  <c r="AB30" i="5" s="1"/>
  <c r="P28" i="5"/>
  <c r="T28" i="5" s="1"/>
  <c r="R28" i="5"/>
  <c r="X28" i="5"/>
  <c r="Y28" i="5" s="1"/>
  <c r="Z28" i="5" s="1"/>
  <c r="AB28" i="5" s="1"/>
  <c r="X22" i="5"/>
  <c r="Y22" i="5" s="1"/>
  <c r="Z22" i="5" s="1"/>
  <c r="AB22" i="5" s="1"/>
  <c r="P22" i="5"/>
  <c r="T22" i="5" s="1"/>
  <c r="R13" i="5"/>
  <c r="P13" i="5"/>
  <c r="T13" i="5" s="1"/>
  <c r="X13" i="5"/>
  <c r="Y13" i="5" s="1"/>
  <c r="Z13" i="5" s="1"/>
  <c r="AB13" i="5" s="1"/>
  <c r="P69" i="5"/>
  <c r="R69" i="5"/>
  <c r="X69" i="5"/>
  <c r="Y69" i="5" s="1"/>
  <c r="Z69" i="5" s="1"/>
  <c r="AB69" i="5" s="1"/>
  <c r="R66" i="5"/>
  <c r="P66" i="5"/>
  <c r="T66" i="5" s="1"/>
  <c r="X66" i="5"/>
  <c r="Y66" i="5" s="1"/>
  <c r="Z66" i="5" s="1"/>
  <c r="AB66" i="5" s="1"/>
  <c r="T39" i="5"/>
  <c r="T36" i="5"/>
  <c r="T35" i="5"/>
  <c r="T27" i="5"/>
  <c r="T26" i="5"/>
  <c r="T25" i="5"/>
  <c r="T23" i="5"/>
  <c r="T21" i="5"/>
  <c r="T18" i="5"/>
  <c r="N17" i="5"/>
  <c r="T11" i="5"/>
  <c r="Y65" i="5"/>
  <c r="Z65" i="5" s="1"/>
  <c r="AB65" i="5" s="1"/>
  <c r="T62" i="5"/>
  <c r="T61" i="5"/>
  <c r="C89" i="5"/>
  <c r="T40" i="5"/>
  <c r="T15" i="5"/>
  <c r="T83" i="5"/>
  <c r="T70" i="5"/>
  <c r="T64" i="5"/>
  <c r="T63" i="5"/>
  <c r="B89" i="5"/>
  <c r="T46" i="5"/>
  <c r="W17" i="5"/>
  <c r="L49" i="5"/>
  <c r="N10" i="4"/>
  <c r="M40" i="4"/>
  <c r="W10" i="4"/>
  <c r="L40" i="4"/>
  <c r="R38" i="4"/>
  <c r="P38" i="4"/>
  <c r="T38" i="4" s="1"/>
  <c r="X38" i="4"/>
  <c r="Y38" i="4" s="1"/>
  <c r="Z38" i="4" s="1"/>
  <c r="AB38" i="4" s="1"/>
  <c r="P37" i="4"/>
  <c r="R37" i="4"/>
  <c r="X37" i="4"/>
  <c r="Y37" i="4" s="1"/>
  <c r="Z37" i="4" s="1"/>
  <c r="AB37" i="4" s="1"/>
  <c r="P36" i="4"/>
  <c r="R36" i="4"/>
  <c r="X36" i="4"/>
  <c r="Y36" i="4" s="1"/>
  <c r="Z36" i="4" s="1"/>
  <c r="AB36" i="4" s="1"/>
  <c r="R35" i="4"/>
  <c r="P35" i="4"/>
  <c r="T35" i="4" s="1"/>
  <c r="X35" i="4"/>
  <c r="Y35" i="4" s="1"/>
  <c r="Z35" i="4" s="1"/>
  <c r="AB35" i="4" s="1"/>
  <c r="P34" i="4"/>
  <c r="T34" i="4" s="1"/>
  <c r="R34" i="4"/>
  <c r="X34" i="4"/>
  <c r="Y34" i="4" s="1"/>
  <c r="Z34" i="4" s="1"/>
  <c r="AB34" i="4" s="1"/>
  <c r="R33" i="4"/>
  <c r="P33" i="4"/>
  <c r="T33" i="4" s="1"/>
  <c r="X33" i="4"/>
  <c r="Y33" i="4" s="1"/>
  <c r="Z33" i="4" s="1"/>
  <c r="AB33" i="4" s="1"/>
  <c r="P32" i="4"/>
  <c r="R32" i="4"/>
  <c r="X32" i="4"/>
  <c r="Y32" i="4" s="1"/>
  <c r="Z32" i="4" s="1"/>
  <c r="AB32" i="4" s="1"/>
  <c r="P31" i="4"/>
  <c r="T31" i="4" s="1"/>
  <c r="R31" i="4"/>
  <c r="X31" i="4"/>
  <c r="Y31" i="4" s="1"/>
  <c r="Z31" i="4" s="1"/>
  <c r="AB31" i="4" s="1"/>
  <c r="R30" i="4"/>
  <c r="P30" i="4"/>
  <c r="T30" i="4" s="1"/>
  <c r="X30" i="4"/>
  <c r="Y30" i="4" s="1"/>
  <c r="Z30" i="4" s="1"/>
  <c r="AB30" i="4" s="1"/>
  <c r="P29" i="4"/>
  <c r="R29" i="4"/>
  <c r="X29" i="4"/>
  <c r="Y29" i="4" s="1"/>
  <c r="Z29" i="4" s="1"/>
  <c r="AB29" i="4" s="1"/>
  <c r="P28" i="4"/>
  <c r="R28" i="4"/>
  <c r="X28" i="4"/>
  <c r="Y28" i="4" s="1"/>
  <c r="Z28" i="4" s="1"/>
  <c r="AB28" i="4" s="1"/>
  <c r="R25" i="4"/>
  <c r="P25" i="4"/>
  <c r="T25" i="4" s="1"/>
  <c r="X25" i="4"/>
  <c r="Y25" i="4" s="1"/>
  <c r="Z25" i="4" s="1"/>
  <c r="AB25" i="4" s="1"/>
  <c r="R23" i="4"/>
  <c r="P23" i="4"/>
  <c r="T23" i="4" s="1"/>
  <c r="X23" i="4"/>
  <c r="Y23" i="4" s="1"/>
  <c r="Z23" i="4" s="1"/>
  <c r="AB23" i="4" s="1"/>
  <c r="P22" i="4"/>
  <c r="T22" i="4" s="1"/>
  <c r="R22" i="4"/>
  <c r="X22" i="4"/>
  <c r="Y22" i="4" s="1"/>
  <c r="Z22" i="4" s="1"/>
  <c r="AB22" i="4" s="1"/>
  <c r="P19" i="4"/>
  <c r="R19" i="4"/>
  <c r="X19" i="4"/>
  <c r="Y19" i="4" s="1"/>
  <c r="Z19" i="4" s="1"/>
  <c r="AB19" i="4" s="1"/>
  <c r="R16" i="4"/>
  <c r="P16" i="4"/>
  <c r="T16" i="4" s="1"/>
  <c r="X16" i="4"/>
  <c r="Y16" i="4" s="1"/>
  <c r="Z16" i="4" s="1"/>
  <c r="AB16" i="4" s="1"/>
  <c r="P15" i="4"/>
  <c r="T15" i="4" s="1"/>
  <c r="R15" i="4"/>
  <c r="X15" i="4"/>
  <c r="Y15" i="4" s="1"/>
  <c r="Z15" i="4" s="1"/>
  <c r="AB15" i="4" s="1"/>
  <c r="R13" i="4"/>
  <c r="P13" i="4"/>
  <c r="T13" i="4" s="1"/>
  <c r="X13" i="4"/>
  <c r="Y13" i="4" s="1"/>
  <c r="Z13" i="4" s="1"/>
  <c r="AB13" i="4" s="1"/>
  <c r="X27" i="4"/>
  <c r="P27" i="4"/>
  <c r="T27" i="4" s="1"/>
  <c r="R27" i="4"/>
  <c r="R26" i="4"/>
  <c r="P26" i="4"/>
  <c r="T26" i="4" s="1"/>
  <c r="X26" i="4"/>
  <c r="Y26" i="4" s="1"/>
  <c r="Z26" i="4" s="1"/>
  <c r="AB26" i="4" s="1"/>
  <c r="P24" i="4"/>
  <c r="T24" i="4" s="1"/>
  <c r="R24" i="4"/>
  <c r="X24" i="4"/>
  <c r="Y24" i="4" s="1"/>
  <c r="Z24" i="4" s="1"/>
  <c r="AB24" i="4" s="1"/>
  <c r="X21" i="4"/>
  <c r="P21" i="4"/>
  <c r="T21" i="4" s="1"/>
  <c r="R21" i="4"/>
  <c r="R20" i="4"/>
  <c r="P20" i="4"/>
  <c r="T20" i="4" s="1"/>
  <c r="X20" i="4"/>
  <c r="Y20" i="4" s="1"/>
  <c r="Z20" i="4" s="1"/>
  <c r="AB20" i="4" s="1"/>
  <c r="X18" i="4"/>
  <c r="P18" i="4"/>
  <c r="R18" i="4"/>
  <c r="P17" i="4"/>
  <c r="R17" i="4"/>
  <c r="X17" i="4"/>
  <c r="R14" i="4"/>
  <c r="P14" i="4"/>
  <c r="T14" i="4" s="1"/>
  <c r="X14" i="4"/>
  <c r="Y14" i="4" s="1"/>
  <c r="Z14" i="4" s="1"/>
  <c r="AB14" i="4" s="1"/>
  <c r="X12" i="4"/>
  <c r="Y12" i="4" s="1"/>
  <c r="Z12" i="4" s="1"/>
  <c r="AB12" i="4" s="1"/>
  <c r="R12" i="4"/>
  <c r="P12" i="4"/>
  <c r="T12" i="4" s="1"/>
  <c r="X11" i="4"/>
  <c r="R11" i="4"/>
  <c r="P11" i="4"/>
  <c r="T11" i="4" s="1"/>
  <c r="N11" i="3"/>
  <c r="M39" i="3"/>
  <c r="W11" i="3"/>
  <c r="L39" i="3"/>
  <c r="R35" i="3"/>
  <c r="P35" i="3"/>
  <c r="T35" i="3" s="1"/>
  <c r="X35" i="3"/>
  <c r="Y35" i="3" s="1"/>
  <c r="Z35" i="3" s="1"/>
  <c r="AB35" i="3" s="1"/>
  <c r="R32" i="3"/>
  <c r="P32" i="3"/>
  <c r="T32" i="3" s="1"/>
  <c r="X32" i="3"/>
  <c r="Y32" i="3" s="1"/>
  <c r="Z32" i="3" s="1"/>
  <c r="AB32" i="3" s="1"/>
  <c r="P24" i="3"/>
  <c r="R24" i="3"/>
  <c r="X24" i="3"/>
  <c r="P23" i="3"/>
  <c r="R23" i="3"/>
  <c r="X23" i="3"/>
  <c r="P18" i="3"/>
  <c r="R18" i="3"/>
  <c r="X18" i="3"/>
  <c r="X21" i="3"/>
  <c r="P21" i="3"/>
  <c r="T21" i="3" s="1"/>
  <c r="R21" i="3"/>
  <c r="R15" i="3"/>
  <c r="P15" i="3"/>
  <c r="T15" i="3" s="1"/>
  <c r="X15" i="3"/>
  <c r="R12" i="3"/>
  <c r="P12" i="3"/>
  <c r="X12" i="3"/>
  <c r="X34" i="3"/>
  <c r="P34" i="3"/>
  <c r="T34" i="3" s="1"/>
  <c r="R34" i="3"/>
  <c r="R33" i="3"/>
  <c r="P33" i="3"/>
  <c r="T33" i="3" s="1"/>
  <c r="X33" i="3"/>
  <c r="Y33" i="3" s="1"/>
  <c r="Z33" i="3" s="1"/>
  <c r="AB33" i="3" s="1"/>
  <c r="X31" i="3"/>
  <c r="P31" i="3"/>
  <c r="R31" i="3"/>
  <c r="X30" i="3"/>
  <c r="P30" i="3"/>
  <c r="T30" i="3" s="1"/>
  <c r="R30" i="3"/>
  <c r="P29" i="3"/>
  <c r="T29" i="3" s="1"/>
  <c r="R29" i="3"/>
  <c r="X29" i="3"/>
  <c r="X25" i="3"/>
  <c r="R25" i="3"/>
  <c r="P25" i="3"/>
  <c r="T25" i="3" s="1"/>
  <c r="R22" i="3"/>
  <c r="P22" i="3"/>
  <c r="T22" i="3" s="1"/>
  <c r="X22" i="3"/>
  <c r="Y22" i="3" s="1"/>
  <c r="Z22" i="3" s="1"/>
  <c r="AB22" i="3" s="1"/>
  <c r="P20" i="3"/>
  <c r="R20" i="3"/>
  <c r="X20" i="3"/>
  <c r="P37" i="3"/>
  <c r="T37" i="3" s="1"/>
  <c r="R37" i="3"/>
  <c r="X37" i="3"/>
  <c r="Y37" i="3" s="1"/>
  <c r="Z37" i="3" s="1"/>
  <c r="AB37" i="3" s="1"/>
  <c r="T16" i="3"/>
  <c r="Y16" i="3" s="1"/>
  <c r="Z16" i="3" s="1"/>
  <c r="AB16" i="3" s="1"/>
  <c r="T36" i="3"/>
  <c r="Y36" i="3" s="1"/>
  <c r="Z36" i="3" s="1"/>
  <c r="AB36" i="3" s="1"/>
  <c r="T27" i="3"/>
  <c r="Y27" i="3" s="1"/>
  <c r="Z27" i="3" s="1"/>
  <c r="AB27" i="3" s="1"/>
  <c r="N10" i="2"/>
  <c r="M62" i="2"/>
  <c r="W10" i="2"/>
  <c r="L62" i="2"/>
  <c r="R48" i="2"/>
  <c r="P48" i="2"/>
  <c r="T48" i="2" s="1"/>
  <c r="X48" i="2"/>
  <c r="Y48" i="2" s="1"/>
  <c r="Z48" i="2" s="1"/>
  <c r="AB48" i="2" s="1"/>
  <c r="R47" i="2"/>
  <c r="P47" i="2"/>
  <c r="T47" i="2" s="1"/>
  <c r="X47" i="2"/>
  <c r="Y47" i="2" s="1"/>
  <c r="Z47" i="2" s="1"/>
  <c r="AB47" i="2" s="1"/>
  <c r="R46" i="2"/>
  <c r="P46" i="2"/>
  <c r="T46" i="2" s="1"/>
  <c r="X46" i="2"/>
  <c r="Y46" i="2" s="1"/>
  <c r="Z46" i="2" s="1"/>
  <c r="AB46" i="2" s="1"/>
  <c r="P45" i="2"/>
  <c r="R45" i="2"/>
  <c r="X45" i="2"/>
  <c r="P44" i="2"/>
  <c r="R44" i="2"/>
  <c r="X44" i="2"/>
  <c r="P43" i="2"/>
  <c r="R43" i="2"/>
  <c r="X43" i="2"/>
  <c r="P42" i="2"/>
  <c r="R42" i="2"/>
  <c r="X42" i="2"/>
  <c r="R41" i="2"/>
  <c r="P41" i="2"/>
  <c r="T41" i="2" s="1"/>
  <c r="X41" i="2"/>
  <c r="Y41" i="2" s="1"/>
  <c r="Z41" i="2" s="1"/>
  <c r="AB41" i="2" s="1"/>
  <c r="P40" i="2"/>
  <c r="R40" i="2"/>
  <c r="X40" i="2"/>
  <c r="R39" i="2"/>
  <c r="P39" i="2"/>
  <c r="T39" i="2" s="1"/>
  <c r="X39" i="2"/>
  <c r="Y39" i="2" s="1"/>
  <c r="Z39" i="2" s="1"/>
  <c r="AB39" i="2" s="1"/>
  <c r="R38" i="2"/>
  <c r="P38" i="2"/>
  <c r="T38" i="2" s="1"/>
  <c r="X38" i="2"/>
  <c r="Y38" i="2" s="1"/>
  <c r="Z38" i="2" s="1"/>
  <c r="AB38" i="2" s="1"/>
  <c r="R37" i="2"/>
  <c r="P37" i="2"/>
  <c r="T37" i="2" s="1"/>
  <c r="X37" i="2"/>
  <c r="Y37" i="2" s="1"/>
  <c r="Z37" i="2" s="1"/>
  <c r="AB37" i="2" s="1"/>
  <c r="R36" i="2"/>
  <c r="P36" i="2"/>
  <c r="T36" i="2" s="1"/>
  <c r="X36" i="2"/>
  <c r="Y36" i="2" s="1"/>
  <c r="Z36" i="2" s="1"/>
  <c r="AB36" i="2" s="1"/>
  <c r="R35" i="2"/>
  <c r="P35" i="2"/>
  <c r="T35" i="2" s="1"/>
  <c r="X35" i="2"/>
  <c r="Y35" i="2" s="1"/>
  <c r="Z35" i="2" s="1"/>
  <c r="AB35" i="2" s="1"/>
  <c r="R34" i="2"/>
  <c r="P34" i="2"/>
  <c r="T34" i="2" s="1"/>
  <c r="X34" i="2"/>
  <c r="Y34" i="2" s="1"/>
  <c r="Z34" i="2" s="1"/>
  <c r="AB34" i="2" s="1"/>
  <c r="R33" i="2"/>
  <c r="P33" i="2"/>
  <c r="T33" i="2" s="1"/>
  <c r="X33" i="2"/>
  <c r="Y33" i="2" s="1"/>
  <c r="Z33" i="2" s="1"/>
  <c r="AB33" i="2" s="1"/>
  <c r="R32" i="2"/>
  <c r="P32" i="2"/>
  <c r="T32" i="2" s="1"/>
  <c r="X32" i="2"/>
  <c r="Y32" i="2" s="1"/>
  <c r="Z32" i="2" s="1"/>
  <c r="AB32" i="2" s="1"/>
  <c r="R31" i="2"/>
  <c r="P31" i="2"/>
  <c r="T31" i="2" s="1"/>
  <c r="X31" i="2"/>
  <c r="Y31" i="2" s="1"/>
  <c r="Z31" i="2" s="1"/>
  <c r="AB31" i="2" s="1"/>
  <c r="R30" i="2"/>
  <c r="P30" i="2"/>
  <c r="T30" i="2" s="1"/>
  <c r="X30" i="2"/>
  <c r="Y30" i="2" s="1"/>
  <c r="Z30" i="2" s="1"/>
  <c r="AB30" i="2" s="1"/>
  <c r="R29" i="2"/>
  <c r="P29" i="2"/>
  <c r="T29" i="2" s="1"/>
  <c r="X29" i="2"/>
  <c r="Y29" i="2" s="1"/>
  <c r="Z29" i="2" s="1"/>
  <c r="AB29" i="2" s="1"/>
  <c r="R28" i="2"/>
  <c r="P28" i="2"/>
  <c r="T28" i="2" s="1"/>
  <c r="X28" i="2"/>
  <c r="Y28" i="2" s="1"/>
  <c r="Z28" i="2" s="1"/>
  <c r="AB28" i="2" s="1"/>
  <c r="R27" i="2"/>
  <c r="P27" i="2"/>
  <c r="T27" i="2" s="1"/>
  <c r="X27" i="2"/>
  <c r="R26" i="2"/>
  <c r="P26" i="2"/>
  <c r="T26" i="2" s="1"/>
  <c r="X26" i="2"/>
  <c r="Y26" i="2" s="1"/>
  <c r="Z26" i="2" s="1"/>
  <c r="AB26" i="2" s="1"/>
  <c r="R25" i="2"/>
  <c r="P25" i="2"/>
  <c r="T25" i="2" s="1"/>
  <c r="X25" i="2"/>
  <c r="Y25" i="2" s="1"/>
  <c r="Z25" i="2" s="1"/>
  <c r="AB25" i="2" s="1"/>
  <c r="R24" i="2"/>
  <c r="P24" i="2"/>
  <c r="T24" i="2" s="1"/>
  <c r="X24" i="2"/>
  <c r="Y24" i="2" s="1"/>
  <c r="Z24" i="2" s="1"/>
  <c r="AB24" i="2" s="1"/>
  <c r="R11" i="2"/>
  <c r="P11" i="2"/>
  <c r="T11" i="2" s="1"/>
  <c r="X11" i="2"/>
  <c r="Y11" i="2" s="1"/>
  <c r="Z11" i="2" s="1"/>
  <c r="AB11" i="2" s="1"/>
  <c r="R22" i="2"/>
  <c r="P22" i="2"/>
  <c r="T22" i="2" s="1"/>
  <c r="X22" i="2"/>
  <c r="Y22" i="2" s="1"/>
  <c r="Z22" i="2" s="1"/>
  <c r="AB22" i="2" s="1"/>
  <c r="R21" i="2"/>
  <c r="P21" i="2"/>
  <c r="T21" i="2" s="1"/>
  <c r="X21" i="2"/>
  <c r="Y21" i="2" s="1"/>
  <c r="Z21" i="2" s="1"/>
  <c r="AB21" i="2" s="1"/>
  <c r="R20" i="2"/>
  <c r="P20" i="2"/>
  <c r="T20" i="2" s="1"/>
  <c r="X20" i="2"/>
  <c r="Y20" i="2" s="1"/>
  <c r="Z20" i="2" s="1"/>
  <c r="AB20" i="2" s="1"/>
  <c r="R19" i="2"/>
  <c r="P19" i="2"/>
  <c r="T19" i="2" s="1"/>
  <c r="X19" i="2"/>
  <c r="Y19" i="2" s="1"/>
  <c r="Z19" i="2" s="1"/>
  <c r="AB19" i="2" s="1"/>
  <c r="R18" i="2"/>
  <c r="P18" i="2"/>
  <c r="T18" i="2" s="1"/>
  <c r="X18" i="2"/>
  <c r="Y18" i="2" s="1"/>
  <c r="Z18" i="2" s="1"/>
  <c r="AB18" i="2" s="1"/>
  <c r="R17" i="2"/>
  <c r="P17" i="2"/>
  <c r="T17" i="2" s="1"/>
  <c r="X17" i="2"/>
  <c r="Y17" i="2" s="1"/>
  <c r="Z17" i="2" s="1"/>
  <c r="AB17" i="2" s="1"/>
  <c r="R16" i="2"/>
  <c r="P16" i="2"/>
  <c r="T16" i="2" s="1"/>
  <c r="X16" i="2"/>
  <c r="R15" i="2"/>
  <c r="P15" i="2"/>
  <c r="T15" i="2" s="1"/>
  <c r="X15" i="2"/>
  <c r="Y15" i="2" s="1"/>
  <c r="Z15" i="2" s="1"/>
  <c r="AB15" i="2" s="1"/>
  <c r="R14" i="2"/>
  <c r="P14" i="2"/>
  <c r="T14" i="2" s="1"/>
  <c r="X14" i="2"/>
  <c r="Y14" i="2" s="1"/>
  <c r="Z14" i="2" s="1"/>
  <c r="AB14" i="2" s="1"/>
  <c r="R13" i="2"/>
  <c r="P13" i="2"/>
  <c r="T13" i="2" s="1"/>
  <c r="X13" i="2"/>
  <c r="Y13" i="2" s="1"/>
  <c r="Z13" i="2" s="1"/>
  <c r="AB13" i="2" s="1"/>
  <c r="R12" i="2"/>
  <c r="P12" i="2"/>
  <c r="T12" i="2" s="1"/>
  <c r="X12" i="2"/>
  <c r="Y12" i="2" s="1"/>
  <c r="Z12" i="2" s="1"/>
  <c r="AB12" i="2" s="1"/>
  <c r="R60" i="2"/>
  <c r="P60" i="2"/>
  <c r="T60" i="2" s="1"/>
  <c r="X60" i="2"/>
  <c r="Y60" i="2" s="1"/>
  <c r="Z60" i="2" s="1"/>
  <c r="AB60" i="2" s="1"/>
  <c r="R59" i="2"/>
  <c r="P59" i="2"/>
  <c r="T59" i="2" s="1"/>
  <c r="X59" i="2"/>
  <c r="Y59" i="2" s="1"/>
  <c r="Z59" i="2" s="1"/>
  <c r="AB59" i="2" s="1"/>
  <c r="R58" i="2"/>
  <c r="P58" i="2"/>
  <c r="T58" i="2" s="1"/>
  <c r="X58" i="2"/>
  <c r="Y58" i="2" s="1"/>
  <c r="Z58" i="2" s="1"/>
  <c r="AB58" i="2" s="1"/>
  <c r="R57" i="2"/>
  <c r="P57" i="2"/>
  <c r="T57" i="2" s="1"/>
  <c r="X57" i="2"/>
  <c r="Y57" i="2" s="1"/>
  <c r="Z57" i="2" s="1"/>
  <c r="AB57" i="2" s="1"/>
  <c r="R56" i="2"/>
  <c r="P56" i="2"/>
  <c r="T56" i="2" s="1"/>
  <c r="X56" i="2"/>
  <c r="Y56" i="2" s="1"/>
  <c r="Z56" i="2" s="1"/>
  <c r="AB56" i="2" s="1"/>
  <c r="R55" i="2"/>
  <c r="P55" i="2"/>
  <c r="T55" i="2" s="1"/>
  <c r="X55" i="2"/>
  <c r="Y55" i="2" s="1"/>
  <c r="Z55" i="2" s="1"/>
  <c r="AB55" i="2" s="1"/>
  <c r="R54" i="2"/>
  <c r="P54" i="2"/>
  <c r="T54" i="2" s="1"/>
  <c r="X54" i="2"/>
  <c r="Y54" i="2" s="1"/>
  <c r="Z54" i="2" s="1"/>
  <c r="AB54" i="2" s="1"/>
  <c r="R53" i="2"/>
  <c r="P53" i="2"/>
  <c r="T53" i="2" s="1"/>
  <c r="X53" i="2"/>
  <c r="Y53" i="2" s="1"/>
  <c r="Z53" i="2" s="1"/>
  <c r="AB53" i="2" s="1"/>
  <c r="R52" i="2"/>
  <c r="P52" i="2"/>
  <c r="T52" i="2" s="1"/>
  <c r="X52" i="2"/>
  <c r="Y52" i="2" s="1"/>
  <c r="Z52" i="2" s="1"/>
  <c r="AB52" i="2" s="1"/>
  <c r="R51" i="2"/>
  <c r="P51" i="2"/>
  <c r="T51" i="2" s="1"/>
  <c r="X51" i="2"/>
  <c r="Y51" i="2" s="1"/>
  <c r="Z51" i="2" s="1"/>
  <c r="AB51" i="2" s="1"/>
  <c r="R50" i="2"/>
  <c r="P50" i="2"/>
  <c r="T50" i="2" s="1"/>
  <c r="X50" i="2"/>
  <c r="Y50" i="2" s="1"/>
  <c r="Z50" i="2" s="1"/>
  <c r="AB50" i="2" s="1"/>
  <c r="R49" i="2"/>
  <c r="P49" i="2"/>
  <c r="T49" i="2" s="1"/>
  <c r="X49" i="2"/>
  <c r="Y49" i="2" s="1"/>
  <c r="Z49" i="2" s="1"/>
  <c r="AB49" i="2" s="1"/>
  <c r="X23" i="2"/>
  <c r="R23" i="2"/>
  <c r="P23" i="2"/>
  <c r="T23" i="2" s="1"/>
  <c r="N61" i="1"/>
  <c r="M81" i="1"/>
  <c r="W61" i="1"/>
  <c r="L81" i="1"/>
  <c r="P35" i="1"/>
  <c r="R35" i="1"/>
  <c r="X35" i="1"/>
  <c r="W50" i="1"/>
  <c r="N29" i="1"/>
  <c r="M32" i="1"/>
  <c r="M84" i="1" s="1"/>
  <c r="W29" i="1"/>
  <c r="L32" i="1"/>
  <c r="P13" i="1"/>
  <c r="R13" i="1"/>
  <c r="X13" i="1"/>
  <c r="W26" i="1"/>
  <c r="R8" i="1"/>
  <c r="R10" i="1" s="1"/>
  <c r="P8" i="1"/>
  <c r="W8" i="1"/>
  <c r="L10" i="1"/>
  <c r="R79" i="1"/>
  <c r="P79" i="1"/>
  <c r="T79" i="1" s="1"/>
  <c r="X79" i="1"/>
  <c r="Y79" i="1" s="1"/>
  <c r="Z79" i="1" s="1"/>
  <c r="AB79" i="1" s="1"/>
  <c r="R64" i="1"/>
  <c r="P64" i="1"/>
  <c r="T64" i="1" s="1"/>
  <c r="X64" i="1"/>
  <c r="Y64" i="1" s="1"/>
  <c r="Z64" i="1" s="1"/>
  <c r="AB64" i="1" s="1"/>
  <c r="P46" i="1"/>
  <c r="T46" i="1" s="1"/>
  <c r="R46" i="1"/>
  <c r="X46" i="1"/>
  <c r="Y46" i="1" s="1"/>
  <c r="Z46" i="1" s="1"/>
  <c r="AB46" i="1" s="1"/>
  <c r="R44" i="1"/>
  <c r="P44" i="1"/>
  <c r="T44" i="1" s="1"/>
  <c r="X44" i="1"/>
  <c r="Y44" i="1" s="1"/>
  <c r="Z44" i="1" s="1"/>
  <c r="AB44" i="1" s="1"/>
  <c r="R71" i="1"/>
  <c r="P71" i="1"/>
  <c r="T71" i="1" s="1"/>
  <c r="X71" i="1"/>
  <c r="Y71" i="1" s="1"/>
  <c r="Z71" i="1" s="1"/>
  <c r="AB71" i="1" s="1"/>
  <c r="R62" i="1"/>
  <c r="P62" i="1"/>
  <c r="T62" i="1" s="1"/>
  <c r="X62" i="1"/>
  <c r="Y62" i="1" s="1"/>
  <c r="Z62" i="1" s="1"/>
  <c r="AB62" i="1" s="1"/>
  <c r="R43" i="1"/>
  <c r="P43" i="1"/>
  <c r="T43" i="1" s="1"/>
  <c r="X43" i="1"/>
  <c r="Y43" i="1" s="1"/>
  <c r="Z43" i="1" s="1"/>
  <c r="AB43" i="1" s="1"/>
  <c r="R42" i="1"/>
  <c r="P42" i="1"/>
  <c r="T42" i="1" s="1"/>
  <c r="X42" i="1"/>
  <c r="Y42" i="1" s="1"/>
  <c r="Z42" i="1" s="1"/>
  <c r="AB42" i="1" s="1"/>
  <c r="R41" i="1"/>
  <c r="P41" i="1"/>
  <c r="T41" i="1" s="1"/>
  <c r="X41" i="1"/>
  <c r="Y41" i="1" s="1"/>
  <c r="Z41" i="1" s="1"/>
  <c r="AB41" i="1" s="1"/>
  <c r="R40" i="1"/>
  <c r="P40" i="1"/>
  <c r="T40" i="1" s="1"/>
  <c r="X40" i="1"/>
  <c r="Y40" i="1" s="1"/>
  <c r="Z40" i="1" s="1"/>
  <c r="AB40" i="1" s="1"/>
  <c r="R39" i="1"/>
  <c r="P39" i="1"/>
  <c r="T39" i="1" s="1"/>
  <c r="X39" i="1"/>
  <c r="Y39" i="1" s="1"/>
  <c r="Z39" i="1" s="1"/>
  <c r="AB39" i="1" s="1"/>
  <c r="R38" i="1"/>
  <c r="P38" i="1"/>
  <c r="T38" i="1" s="1"/>
  <c r="X38" i="1"/>
  <c r="Y38" i="1" s="1"/>
  <c r="Z38" i="1" s="1"/>
  <c r="AB38" i="1" s="1"/>
  <c r="R36" i="1"/>
  <c r="P36" i="1"/>
  <c r="T36" i="1" s="1"/>
  <c r="X36" i="1"/>
  <c r="R15" i="1"/>
  <c r="P15" i="1"/>
  <c r="T15" i="1" s="1"/>
  <c r="X15" i="1"/>
  <c r="Y15" i="1" s="1"/>
  <c r="Z15" i="1" s="1"/>
  <c r="AB15" i="1" s="1"/>
  <c r="R30" i="1"/>
  <c r="P30" i="1"/>
  <c r="T30" i="1" s="1"/>
  <c r="X30" i="1"/>
  <c r="Y30" i="1" s="1"/>
  <c r="Z30" i="1" s="1"/>
  <c r="AB30" i="1" s="1"/>
  <c r="R24" i="1"/>
  <c r="P24" i="1"/>
  <c r="T24" i="1" s="1"/>
  <c r="X24" i="1"/>
  <c r="Y24" i="1" s="1"/>
  <c r="Z24" i="1" s="1"/>
  <c r="AB24" i="1" s="1"/>
  <c r="R22" i="1"/>
  <c r="P22" i="1"/>
  <c r="T22" i="1" s="1"/>
  <c r="X22" i="1"/>
  <c r="Y22" i="1" s="1"/>
  <c r="Z22" i="1" s="1"/>
  <c r="AB22" i="1" s="1"/>
  <c r="R21" i="1"/>
  <c r="P21" i="1"/>
  <c r="T21" i="1" s="1"/>
  <c r="X21" i="1"/>
  <c r="Y21" i="1" s="1"/>
  <c r="Z21" i="1" s="1"/>
  <c r="AB21" i="1" s="1"/>
  <c r="R20" i="1"/>
  <c r="P20" i="1"/>
  <c r="T20" i="1" s="1"/>
  <c r="X20" i="1"/>
  <c r="Y20" i="1" s="1"/>
  <c r="Z20" i="1" s="1"/>
  <c r="AB20" i="1" s="1"/>
  <c r="R19" i="1"/>
  <c r="P19" i="1"/>
  <c r="T19" i="1" s="1"/>
  <c r="X19" i="1"/>
  <c r="Y19" i="1" s="1"/>
  <c r="Z19" i="1" s="1"/>
  <c r="AB19" i="1" s="1"/>
  <c r="R18" i="1"/>
  <c r="P18" i="1"/>
  <c r="T18" i="1" s="1"/>
  <c r="X18" i="1"/>
  <c r="Y18" i="1" s="1"/>
  <c r="Z18" i="1" s="1"/>
  <c r="AB18" i="1" s="1"/>
  <c r="R17" i="1"/>
  <c r="P17" i="1"/>
  <c r="T17" i="1" s="1"/>
  <c r="X17" i="1"/>
  <c r="Y17" i="1" s="1"/>
  <c r="Z17" i="1" s="1"/>
  <c r="AB17" i="1" s="1"/>
  <c r="R16" i="1"/>
  <c r="P16" i="1"/>
  <c r="T16" i="1" s="1"/>
  <c r="X16" i="1"/>
  <c r="Y16" i="1" s="1"/>
  <c r="Z16" i="1" s="1"/>
  <c r="AB16" i="1" s="1"/>
  <c r="R14" i="1"/>
  <c r="P14" i="1"/>
  <c r="T14" i="1" s="1"/>
  <c r="X14" i="1"/>
  <c r="X72" i="1"/>
  <c r="R72" i="1"/>
  <c r="P72" i="1"/>
  <c r="T72" i="1" s="1"/>
  <c r="X69" i="1"/>
  <c r="R69" i="1"/>
  <c r="P69" i="1"/>
  <c r="T69" i="1" s="1"/>
  <c r="R68" i="1"/>
  <c r="P68" i="1"/>
  <c r="T68" i="1" s="1"/>
  <c r="X68" i="1"/>
  <c r="Y68" i="1" s="1"/>
  <c r="Z68" i="1" s="1"/>
  <c r="AB68" i="1" s="1"/>
  <c r="X66" i="1"/>
  <c r="P66" i="1"/>
  <c r="R66" i="1"/>
  <c r="X63" i="1"/>
  <c r="R63" i="1"/>
  <c r="P63" i="1"/>
  <c r="T63" i="1" s="1"/>
  <c r="R47" i="1"/>
  <c r="P47" i="1"/>
  <c r="T47" i="1" s="1"/>
  <c r="X47" i="1"/>
  <c r="Y47" i="1" s="1"/>
  <c r="Z47" i="1" s="1"/>
  <c r="AB47" i="1" s="1"/>
  <c r="R77" i="1"/>
  <c r="P77" i="1"/>
  <c r="T77" i="1" s="1"/>
  <c r="X77" i="1"/>
  <c r="Y77" i="1" s="1"/>
  <c r="Z77" i="1" s="1"/>
  <c r="AB77" i="1" s="1"/>
  <c r="P76" i="1"/>
  <c r="R76" i="1"/>
  <c r="X76" i="1"/>
  <c r="X75" i="1"/>
  <c r="R75" i="1"/>
  <c r="P75" i="1"/>
  <c r="T75" i="1" s="1"/>
  <c r="P74" i="1"/>
  <c r="R74" i="1"/>
  <c r="X74" i="1"/>
  <c r="R73" i="1"/>
  <c r="P73" i="1"/>
  <c r="T73" i="1" s="1"/>
  <c r="X73" i="1"/>
  <c r="R70" i="1"/>
  <c r="P70" i="1"/>
  <c r="T70" i="1" s="1"/>
  <c r="X70" i="1"/>
  <c r="Y70" i="1" s="1"/>
  <c r="Z70" i="1" s="1"/>
  <c r="AB70" i="1" s="1"/>
  <c r="X65" i="1"/>
  <c r="P65" i="1"/>
  <c r="R65" i="1"/>
  <c r="T45" i="1"/>
  <c r="Y45" i="1" s="1"/>
  <c r="Z45" i="1" s="1"/>
  <c r="AB45" i="1" s="1"/>
  <c r="N37" i="1"/>
  <c r="K84" i="1"/>
  <c r="J84" i="1"/>
  <c r="N23" i="1"/>
  <c r="Y67" i="1"/>
  <c r="Z67" i="1" s="1"/>
  <c r="AB67" i="1" s="1"/>
  <c r="T78" i="1"/>
  <c r="Y78" i="1" s="1"/>
  <c r="Z78" i="1" s="1"/>
  <c r="AB78" i="1" s="1"/>
  <c r="W34" i="7" l="1"/>
  <c r="X34" i="7" s="1"/>
  <c r="X30" i="7"/>
  <c r="W27" i="7"/>
  <c r="X27" i="7" s="1"/>
  <c r="X21" i="7"/>
  <c r="C98" i="6"/>
  <c r="C100" i="6" s="1"/>
  <c r="E100" i="6"/>
  <c r="T82" i="5"/>
  <c r="T87" i="5" s="1"/>
  <c r="P87" i="5"/>
  <c r="Y82" i="5"/>
  <c r="X87" i="5"/>
  <c r="P60" i="5"/>
  <c r="R60" i="5"/>
  <c r="R77" i="5" s="1"/>
  <c r="X60" i="5"/>
  <c r="W77" i="5"/>
  <c r="W89" i="5" s="1"/>
  <c r="T10" i="5"/>
  <c r="Y10" i="5"/>
  <c r="P17" i="5"/>
  <c r="R17" i="5"/>
  <c r="X17" i="5"/>
  <c r="L89" i="5"/>
  <c r="R49" i="5"/>
  <c r="T41" i="5"/>
  <c r="T33" i="5"/>
  <c r="T69" i="5"/>
  <c r="P10" i="4"/>
  <c r="R10" i="4"/>
  <c r="R40" i="4" s="1"/>
  <c r="X10" i="4"/>
  <c r="W40" i="4"/>
  <c r="T29" i="4"/>
  <c r="T28" i="4"/>
  <c r="T19" i="4"/>
  <c r="Y27" i="4"/>
  <c r="Z27" i="4" s="1"/>
  <c r="AB27" i="4" s="1"/>
  <c r="Y21" i="4"/>
  <c r="Z21" i="4" s="1"/>
  <c r="AB21" i="4" s="1"/>
  <c r="T18" i="4"/>
  <c r="T17" i="4"/>
  <c r="T37" i="4"/>
  <c r="T36" i="4"/>
  <c r="Y18" i="4"/>
  <c r="Z18" i="4" s="1"/>
  <c r="AB18" i="4" s="1"/>
  <c r="Y17" i="4"/>
  <c r="Z17" i="4" s="1"/>
  <c r="AB17" i="4" s="1"/>
  <c r="Y11" i="4"/>
  <c r="Z11" i="4" s="1"/>
  <c r="AB11" i="4" s="1"/>
  <c r="T32" i="4"/>
  <c r="P11" i="3"/>
  <c r="R11" i="3"/>
  <c r="R39" i="3" s="1"/>
  <c r="X11" i="3"/>
  <c r="W39" i="3"/>
  <c r="Y29" i="3"/>
  <c r="Z29" i="3" s="1"/>
  <c r="AB29" i="3" s="1"/>
  <c r="T12" i="3"/>
  <c r="Y12" i="3" s="1"/>
  <c r="Z12" i="3" s="1"/>
  <c r="AB12" i="3" s="1"/>
  <c r="Y21" i="3"/>
  <c r="Z21" i="3" s="1"/>
  <c r="AB21" i="3" s="1"/>
  <c r="Y30" i="3"/>
  <c r="Z30" i="3" s="1"/>
  <c r="AB30" i="3" s="1"/>
  <c r="Y25" i="3"/>
  <c r="Z25" i="3" s="1"/>
  <c r="AB25" i="3" s="1"/>
  <c r="T20" i="3"/>
  <c r="Y20" i="3" s="1"/>
  <c r="Z20" i="3" s="1"/>
  <c r="AB20" i="3" s="1"/>
  <c r="T24" i="3"/>
  <c r="Y24" i="3" s="1"/>
  <c r="Z24" i="3" s="1"/>
  <c r="AB24" i="3" s="1"/>
  <c r="T23" i="3"/>
  <c r="Y23" i="3" s="1"/>
  <c r="Z23" i="3" s="1"/>
  <c r="AB23" i="3" s="1"/>
  <c r="T18" i="3"/>
  <c r="Y18" i="3" s="1"/>
  <c r="Z18" i="3" s="1"/>
  <c r="AB18" i="3" s="1"/>
  <c r="Y15" i="3"/>
  <c r="Z15" i="3" s="1"/>
  <c r="AB15" i="3" s="1"/>
  <c r="Y34" i="3"/>
  <c r="Z34" i="3" s="1"/>
  <c r="AB34" i="3" s="1"/>
  <c r="T31" i="3"/>
  <c r="Y31" i="3" s="1"/>
  <c r="Z31" i="3" s="1"/>
  <c r="AB31" i="3" s="1"/>
  <c r="P10" i="2"/>
  <c r="R10" i="2"/>
  <c r="R62" i="2" s="1"/>
  <c r="X10" i="2"/>
  <c r="W62" i="2"/>
  <c r="T45" i="2"/>
  <c r="Y45" i="2" s="1"/>
  <c r="Z45" i="2" s="1"/>
  <c r="AB45" i="2" s="1"/>
  <c r="T44" i="2"/>
  <c r="Y44" i="2" s="1"/>
  <c r="Z44" i="2" s="1"/>
  <c r="AB44" i="2" s="1"/>
  <c r="T42" i="2"/>
  <c r="Y42" i="2" s="1"/>
  <c r="Z42" i="2" s="1"/>
  <c r="AB42" i="2" s="1"/>
  <c r="T40" i="2"/>
  <c r="Y40" i="2" s="1"/>
  <c r="Z40" i="2" s="1"/>
  <c r="AB40" i="2" s="1"/>
  <c r="Y16" i="2"/>
  <c r="Z16" i="2" s="1"/>
  <c r="AB16" i="2" s="1"/>
  <c r="Y23" i="2"/>
  <c r="Z23" i="2" s="1"/>
  <c r="AB23" i="2" s="1"/>
  <c r="Y27" i="2"/>
  <c r="Z27" i="2" s="1"/>
  <c r="AB27" i="2" s="1"/>
  <c r="T43" i="2"/>
  <c r="Y43" i="2" s="1"/>
  <c r="Z43" i="2" s="1"/>
  <c r="AB43" i="2" s="1"/>
  <c r="P61" i="1"/>
  <c r="R61" i="1"/>
  <c r="R81" i="1" s="1"/>
  <c r="X61" i="1"/>
  <c r="W81" i="1"/>
  <c r="T35" i="1"/>
  <c r="Y35" i="1"/>
  <c r="P29" i="1"/>
  <c r="R29" i="1"/>
  <c r="R32" i="1" s="1"/>
  <c r="X29" i="1"/>
  <c r="W32" i="1"/>
  <c r="T13" i="1"/>
  <c r="P26" i="1"/>
  <c r="Y13" i="1"/>
  <c r="X26" i="1"/>
  <c r="T8" i="1"/>
  <c r="T10" i="1" s="1"/>
  <c r="P10" i="1"/>
  <c r="W10" i="1"/>
  <c r="X8" i="1"/>
  <c r="R37" i="1"/>
  <c r="R50" i="1" s="1"/>
  <c r="R84" i="1" s="1"/>
  <c r="P37" i="1"/>
  <c r="P50" i="1" s="1"/>
  <c r="X37" i="1"/>
  <c r="X50" i="1" s="1"/>
  <c r="P23" i="1"/>
  <c r="R23" i="1"/>
  <c r="X23" i="1"/>
  <c r="L84" i="1"/>
  <c r="R26" i="1"/>
  <c r="Y36" i="1"/>
  <c r="Z36" i="1" s="1"/>
  <c r="AB36" i="1" s="1"/>
  <c r="Y75" i="1"/>
  <c r="Z75" i="1" s="1"/>
  <c r="AB75" i="1" s="1"/>
  <c r="Y14" i="1"/>
  <c r="Z14" i="1" s="1"/>
  <c r="AB14" i="1" s="1"/>
  <c r="Y72" i="1"/>
  <c r="Z72" i="1" s="1"/>
  <c r="AB72" i="1" s="1"/>
  <c r="Y69" i="1"/>
  <c r="Z69" i="1" s="1"/>
  <c r="AB69" i="1" s="1"/>
  <c r="T66" i="1"/>
  <c r="Y66" i="1" s="1"/>
  <c r="Z66" i="1" s="1"/>
  <c r="AB66" i="1" s="1"/>
  <c r="Y63" i="1"/>
  <c r="Z63" i="1" s="1"/>
  <c r="AB63" i="1" s="1"/>
  <c r="T76" i="1"/>
  <c r="Y76" i="1" s="1"/>
  <c r="Z76" i="1" s="1"/>
  <c r="AB76" i="1" s="1"/>
  <c r="T74" i="1"/>
  <c r="Y74" i="1" s="1"/>
  <c r="Z74" i="1" s="1"/>
  <c r="AB74" i="1" s="1"/>
  <c r="Y73" i="1"/>
  <c r="Z73" i="1" s="1"/>
  <c r="AB73" i="1" s="1"/>
  <c r="T65" i="1"/>
  <c r="Y65" i="1" s="1"/>
  <c r="Z65" i="1" s="1"/>
  <c r="AB65" i="1" s="1"/>
  <c r="Y87" i="5" l="1"/>
  <c r="Z82" i="5"/>
  <c r="AB82" i="5" s="1"/>
  <c r="T60" i="5"/>
  <c r="T77" i="5" s="1"/>
  <c r="P77" i="5"/>
  <c r="Y60" i="5"/>
  <c r="X77" i="5"/>
  <c r="Z10" i="5"/>
  <c r="AB10" i="5" s="1"/>
  <c r="Y49" i="5"/>
  <c r="Z49" i="5" s="1"/>
  <c r="AB49" i="5" s="1"/>
  <c r="R89" i="5"/>
  <c r="T17" i="5"/>
  <c r="T49" i="5" s="1"/>
  <c r="P49" i="5"/>
  <c r="Y17" i="5"/>
  <c r="Z17" i="5" s="1"/>
  <c r="AB17" i="5" s="1"/>
  <c r="X49" i="5"/>
  <c r="T10" i="4"/>
  <c r="T40" i="4" s="1"/>
  <c r="P40" i="4"/>
  <c r="Y10" i="4"/>
  <c r="X40" i="4"/>
  <c r="T11" i="3"/>
  <c r="T39" i="3" s="1"/>
  <c r="P39" i="3"/>
  <c r="Y11" i="3"/>
  <c r="X39" i="3"/>
  <c r="T10" i="2"/>
  <c r="T62" i="2" s="1"/>
  <c r="P62" i="2"/>
  <c r="Y10" i="2"/>
  <c r="X62" i="2"/>
  <c r="T61" i="1"/>
  <c r="T81" i="1" s="1"/>
  <c r="P81" i="1"/>
  <c r="Y61" i="1"/>
  <c r="X81" i="1"/>
  <c r="Z35" i="1"/>
  <c r="AB35" i="1" s="1"/>
  <c r="T29" i="1"/>
  <c r="T32" i="1" s="1"/>
  <c r="P32" i="1"/>
  <c r="P84" i="1" s="1"/>
  <c r="Y29" i="1"/>
  <c r="X32" i="1"/>
  <c r="X84" i="1" s="1"/>
  <c r="Z13" i="1"/>
  <c r="AB13" i="1" s="1"/>
  <c r="Y26" i="1"/>
  <c r="Z26" i="1" s="1"/>
  <c r="AB26" i="1" s="1"/>
  <c r="Y8" i="1"/>
  <c r="X10" i="1"/>
  <c r="T23" i="1"/>
  <c r="T37" i="1"/>
  <c r="W84" i="1"/>
  <c r="Z87" i="5" l="1"/>
  <c r="AB87" i="5" s="1"/>
  <c r="Z60" i="5"/>
  <c r="AB60" i="5" s="1"/>
  <c r="Y77" i="5"/>
  <c r="P89" i="5"/>
  <c r="T89" i="5"/>
  <c r="X89" i="5"/>
  <c r="Z10" i="4"/>
  <c r="AB10" i="4" s="1"/>
  <c r="Y40" i="4"/>
  <c r="Z40" i="4" s="1"/>
  <c r="AB40" i="4" s="1"/>
  <c r="Z11" i="3"/>
  <c r="AB11" i="3" s="1"/>
  <c r="Y39" i="3"/>
  <c r="Z39" i="3" s="1"/>
  <c r="AB39" i="3" s="1"/>
  <c r="Z10" i="2"/>
  <c r="AB10" i="2" s="1"/>
  <c r="Y62" i="2"/>
  <c r="Z62" i="2" s="1"/>
  <c r="AB62" i="2" s="1"/>
  <c r="Z61" i="1"/>
  <c r="AB61" i="1" s="1"/>
  <c r="Y81" i="1"/>
  <c r="Z81" i="1" s="1"/>
  <c r="AB81" i="1" s="1"/>
  <c r="Z29" i="1"/>
  <c r="AB29" i="1" s="1"/>
  <c r="Y32" i="1"/>
  <c r="Z32" i="1" s="1"/>
  <c r="AB32" i="1" s="1"/>
  <c r="Y10" i="1"/>
  <c r="Z10" i="1" s="1"/>
  <c r="AB10" i="1" s="1"/>
  <c r="Z8" i="1"/>
  <c r="AB8" i="1" s="1"/>
  <c r="T26" i="1"/>
  <c r="Y23" i="1"/>
  <c r="Z23" i="1" s="1"/>
  <c r="AB23" i="1" s="1"/>
  <c r="T50" i="1"/>
  <c r="T84" i="1" s="1"/>
  <c r="Y37" i="1"/>
  <c r="Z77" i="5" l="1"/>
  <c r="AB77" i="5" s="1"/>
  <c r="Y89" i="5"/>
  <c r="Z89" i="5" s="1"/>
  <c r="AB89" i="5" s="1"/>
  <c r="Y50" i="1"/>
  <c r="Z37" i="1"/>
  <c r="AB37" i="1" s="1"/>
  <c r="Y84" i="1" l="1"/>
  <c r="Z84" i="1" s="1"/>
  <c r="AB84" i="1" s="1"/>
  <c r="Z50" i="1"/>
  <c r="AB50" i="1" s="1"/>
</calcChain>
</file>

<file path=xl/sharedStrings.xml><?xml version="1.0" encoding="utf-8"?>
<sst xmlns="http://schemas.openxmlformats.org/spreadsheetml/2006/main" count="758" uniqueCount="331">
  <si>
    <t>DETAILS OF JEWELS CLOSING STOCK - DIAMONDS</t>
  </si>
  <si>
    <t>Particulars</t>
  </si>
  <si>
    <t>Opening stock</t>
  </si>
  <si>
    <t>Purchases</t>
  </si>
  <si>
    <t>Receipts - Internal Stock Transfer</t>
  </si>
  <si>
    <t>Receipts - Jubilee Hills</t>
  </si>
  <si>
    <t>Receipts</t>
  </si>
  <si>
    <t>Total</t>
  </si>
  <si>
    <t>Average rate</t>
  </si>
  <si>
    <t>Issues - Internal Stock Transfer</t>
  </si>
  <si>
    <t>Issues - Jubilee Hills</t>
  </si>
  <si>
    <t>Issues</t>
  </si>
  <si>
    <t>Sales</t>
  </si>
  <si>
    <t>Closing stock</t>
  </si>
  <si>
    <t>Gross Profit</t>
  </si>
  <si>
    <t>GP AY 2025-26</t>
  </si>
  <si>
    <t>Deviation</t>
  </si>
  <si>
    <t>2  (Qty)</t>
  </si>
  <si>
    <t>3  (Amt.)</t>
  </si>
  <si>
    <t>4  (Qty)</t>
  </si>
  <si>
    <t>5  (Amt.)</t>
  </si>
  <si>
    <t>(Qty)</t>
  </si>
  <si>
    <t>(Amt.)</t>
  </si>
  <si>
    <t>6  (Qty)</t>
  </si>
  <si>
    <t>7  (Amt.)</t>
  </si>
  <si>
    <t>8 = (2+4+6) (Qty)</t>
  </si>
  <si>
    <t>9 = (3+5+7) (Amt)</t>
  </si>
  <si>
    <t>10 = (9/8) (Amt)</t>
  </si>
  <si>
    <t>11 (Qty)</t>
  </si>
  <si>
    <t>12  (Amt.)</t>
  </si>
  <si>
    <t>13 (Qty)</t>
  </si>
  <si>
    <t>14  (Amt.)</t>
  </si>
  <si>
    <t>15 (Qty)</t>
  </si>
  <si>
    <t>16  (Amt.)</t>
  </si>
  <si>
    <t xml:space="preserve"> (Amt.)</t>
  </si>
  <si>
    <t>%</t>
  </si>
  <si>
    <t>Diamonds - Beads</t>
  </si>
  <si>
    <t>Di. Beads</t>
  </si>
  <si>
    <t>TOTAL</t>
  </si>
  <si>
    <t>Diamonds Rosecut diamonds</t>
  </si>
  <si>
    <t>Di. RC 1</t>
  </si>
  <si>
    <t>Di. RC 2</t>
  </si>
  <si>
    <t>Di. RC 3</t>
  </si>
  <si>
    <t>Di. RC 4</t>
  </si>
  <si>
    <t>Di. RC 5</t>
  </si>
  <si>
    <t>Di. RC 6</t>
  </si>
  <si>
    <t>Di. RC 7</t>
  </si>
  <si>
    <t>Di. RC 8</t>
  </si>
  <si>
    <t>Di. RC 10</t>
  </si>
  <si>
    <t>Di. RC 13</t>
  </si>
  <si>
    <t>Di. RC 14</t>
  </si>
  <si>
    <t>Di. RC 16</t>
  </si>
  <si>
    <t>Uncut - diamonds</t>
  </si>
  <si>
    <t>Chakri</t>
  </si>
  <si>
    <t xml:space="preserve">Polki </t>
  </si>
  <si>
    <t>Diamonds - Flat polki</t>
  </si>
  <si>
    <t>FP1</t>
  </si>
  <si>
    <t>FP2</t>
  </si>
  <si>
    <t>FP3</t>
  </si>
  <si>
    <t>FP4</t>
  </si>
  <si>
    <t>FP5</t>
  </si>
  <si>
    <t>FP6</t>
  </si>
  <si>
    <t>FP7</t>
  </si>
  <si>
    <t>FP8</t>
  </si>
  <si>
    <t>FP9</t>
  </si>
  <si>
    <t>FP10</t>
  </si>
  <si>
    <t>FP11</t>
  </si>
  <si>
    <t>FP12</t>
  </si>
  <si>
    <t>FP13</t>
  </si>
  <si>
    <t>FP14</t>
  </si>
  <si>
    <t>Diamonds:</t>
  </si>
  <si>
    <t>Di RA 10</t>
  </si>
  <si>
    <t>Di RA 15</t>
  </si>
  <si>
    <t>Di RA 20</t>
  </si>
  <si>
    <t>Di RA 25</t>
  </si>
  <si>
    <t>Di RA 30</t>
  </si>
  <si>
    <t>Di RA 35</t>
  </si>
  <si>
    <t>Di RA 40</t>
  </si>
  <si>
    <t>Di RA 45</t>
  </si>
  <si>
    <t>Di RA 50</t>
  </si>
  <si>
    <t>Di RA 60</t>
  </si>
  <si>
    <t>Di RA 70</t>
  </si>
  <si>
    <t>Di RA 80</t>
  </si>
  <si>
    <t>Di RA 90</t>
  </si>
  <si>
    <t>Di RA 100</t>
  </si>
  <si>
    <t>Di RA 110</t>
  </si>
  <si>
    <t>Di RA 120</t>
  </si>
  <si>
    <t>SD Di. 225</t>
  </si>
  <si>
    <t>SD Di. 250</t>
  </si>
  <si>
    <t>SD Di. Mix</t>
  </si>
  <si>
    <t>GRAND TOTAL</t>
  </si>
  <si>
    <t>DETAILS OF JEWELS CLOSING STOCK - EMERALDS</t>
  </si>
  <si>
    <t>Emeralds</t>
  </si>
  <si>
    <t>JEM 100</t>
  </si>
  <si>
    <t>JEM 1000</t>
  </si>
  <si>
    <t>JEM 10500</t>
  </si>
  <si>
    <t>JEM 1100</t>
  </si>
  <si>
    <t>JEM 11500</t>
  </si>
  <si>
    <t>JEM 1200</t>
  </si>
  <si>
    <t>JEM 1400</t>
  </si>
  <si>
    <t>JEM 14500</t>
  </si>
  <si>
    <t>JEM 150</t>
  </si>
  <si>
    <t>JEM 1600</t>
  </si>
  <si>
    <t>JEM 1700</t>
  </si>
  <si>
    <t>JEM 1800</t>
  </si>
  <si>
    <t>JEM 1900</t>
  </si>
  <si>
    <t>JEM 200</t>
  </si>
  <si>
    <t>JEM 2000</t>
  </si>
  <si>
    <t>JEM 2100</t>
  </si>
  <si>
    <t>JEM 2200</t>
  </si>
  <si>
    <t>JEM 24000</t>
  </si>
  <si>
    <t>JEM 2500</t>
  </si>
  <si>
    <t>JEM 2600</t>
  </si>
  <si>
    <t>JEM 2800</t>
  </si>
  <si>
    <t>JEM 300</t>
  </si>
  <si>
    <t>JEM 3000</t>
  </si>
  <si>
    <t>JEM 3100</t>
  </si>
  <si>
    <t>JEM 3200</t>
  </si>
  <si>
    <t>JEM 350</t>
  </si>
  <si>
    <t>JEM 3500</t>
  </si>
  <si>
    <t>JEM 3700</t>
  </si>
  <si>
    <t>JEM 3800</t>
  </si>
  <si>
    <t>JEM 3900</t>
  </si>
  <si>
    <t>JEM 400</t>
  </si>
  <si>
    <t>JEM 4000</t>
  </si>
  <si>
    <t>JEM 4500</t>
  </si>
  <si>
    <t>JEM 4900</t>
  </si>
  <si>
    <t>JEM 50</t>
  </si>
  <si>
    <t>JEM 500</t>
  </si>
  <si>
    <t>JEM 5000</t>
  </si>
  <si>
    <t>JEM 5600</t>
  </si>
  <si>
    <t>JEM 5900</t>
  </si>
  <si>
    <t>JEM 600</t>
  </si>
  <si>
    <t>JEM 6000</t>
  </si>
  <si>
    <t>JEM 6500</t>
  </si>
  <si>
    <t>JEM 700</t>
  </si>
  <si>
    <t>JEM 7000</t>
  </si>
  <si>
    <t>JEM 7500</t>
  </si>
  <si>
    <t>JEM 800</t>
  </si>
  <si>
    <t>JEM 8000</t>
  </si>
  <si>
    <t>JEM 850</t>
  </si>
  <si>
    <t>JEM 8500</t>
  </si>
  <si>
    <t>JEM 900</t>
  </si>
  <si>
    <t>JEM 950</t>
  </si>
  <si>
    <t>DETAILS OF JEWELS CLOSING STOCK - PEARLS</t>
  </si>
  <si>
    <t>Pearls :</t>
  </si>
  <si>
    <t>JPS 100</t>
  </si>
  <si>
    <t>JPS 1000</t>
  </si>
  <si>
    <t>JPS 1100</t>
  </si>
  <si>
    <t>JPS 1200</t>
  </si>
  <si>
    <t>JPS 1300</t>
  </si>
  <si>
    <t>JPS 1400</t>
  </si>
  <si>
    <t>JPS 150</t>
  </si>
  <si>
    <t>JPS 1500</t>
  </si>
  <si>
    <t>JPS 1800</t>
  </si>
  <si>
    <t>JPS 1900</t>
  </si>
  <si>
    <t>JPS 200</t>
  </si>
  <si>
    <t>JPS 2000</t>
  </si>
  <si>
    <t>JPS 2200</t>
  </si>
  <si>
    <t>JPS 250</t>
  </si>
  <si>
    <t>JPS 2500</t>
  </si>
  <si>
    <t>JPS 2800</t>
  </si>
  <si>
    <t>JPS 300</t>
  </si>
  <si>
    <t>JPS 350</t>
  </si>
  <si>
    <t>JPS 3500</t>
  </si>
  <si>
    <t>JPS 400</t>
  </si>
  <si>
    <t>JPS 450</t>
  </si>
  <si>
    <t>JPS 50</t>
  </si>
  <si>
    <t>JPS 500</t>
  </si>
  <si>
    <t>JPS 550</t>
  </si>
  <si>
    <t>JPS 600</t>
  </si>
  <si>
    <t>JPS 700</t>
  </si>
  <si>
    <t>JPS 950</t>
  </si>
  <si>
    <t>DETAILS OF JEWELS CLOSING STOCK - RUBIES</t>
  </si>
  <si>
    <t xml:space="preserve">Rubies </t>
  </si>
  <si>
    <t>JRU 100</t>
  </si>
  <si>
    <t>JRU 1000</t>
  </si>
  <si>
    <t>JRU 1100</t>
  </si>
  <si>
    <t>JRU 1200</t>
  </si>
  <si>
    <t>JRU 12500</t>
  </si>
  <si>
    <t>JRU 1300</t>
  </si>
  <si>
    <t>JRU 1400</t>
  </si>
  <si>
    <t>JRU 150</t>
  </si>
  <si>
    <t>JRU 1500</t>
  </si>
  <si>
    <t>JRU 1800</t>
  </si>
  <si>
    <t>JRU 2800</t>
  </si>
  <si>
    <t>JRU 350</t>
  </si>
  <si>
    <t>JRU 3600</t>
  </si>
  <si>
    <t>JRU 3800</t>
  </si>
  <si>
    <t>JRU 3900</t>
  </si>
  <si>
    <t>JRU 400</t>
  </si>
  <si>
    <t>JRU 4000</t>
  </si>
  <si>
    <t>JRU 450</t>
  </si>
  <si>
    <t>JRU 4500</t>
  </si>
  <si>
    <t>JRU 50</t>
  </si>
  <si>
    <t>JRU 5000</t>
  </si>
  <si>
    <t>JRU 550</t>
  </si>
  <si>
    <t>JRU 5600</t>
  </si>
  <si>
    <t>JRU 6000</t>
  </si>
  <si>
    <t>JRU 6600</t>
  </si>
  <si>
    <t>JRU 700</t>
  </si>
  <si>
    <t>JRU 7000</t>
  </si>
  <si>
    <t>JRU 800</t>
  </si>
  <si>
    <t>JRU 900</t>
  </si>
  <si>
    <t>DETAILS OF JEWELS CLOSING STOCK - PRECIOUS &amp; SEMI PRECIOUS STONES</t>
  </si>
  <si>
    <t>Precious Stones</t>
  </si>
  <si>
    <t>JOS 100</t>
  </si>
  <si>
    <t>JOS 1000</t>
  </si>
  <si>
    <t>JOS 10000</t>
  </si>
  <si>
    <t>JOS 1100</t>
  </si>
  <si>
    <t>JOS 1200</t>
  </si>
  <si>
    <t>JOS 1300</t>
  </si>
  <si>
    <t>JOS 1400</t>
  </si>
  <si>
    <t>JOS 150</t>
  </si>
  <si>
    <t>JOS 1600</t>
  </si>
  <si>
    <t>JOS 1700</t>
  </si>
  <si>
    <t>JOS 1800</t>
  </si>
  <si>
    <t>JOS 1900</t>
  </si>
  <si>
    <t>JOS 200</t>
  </si>
  <si>
    <t>JOS 2000</t>
  </si>
  <si>
    <t>JOS 2100</t>
  </si>
  <si>
    <t>JOS 250</t>
  </si>
  <si>
    <t>JOS 2500</t>
  </si>
  <si>
    <t>JOS 25000</t>
  </si>
  <si>
    <t>JOS 300</t>
  </si>
  <si>
    <t>JOS 3000</t>
  </si>
  <si>
    <t>JOS 350</t>
  </si>
  <si>
    <t>JOS 3500</t>
  </si>
  <si>
    <t>JOS 400</t>
  </si>
  <si>
    <t>JOS 450</t>
  </si>
  <si>
    <t>JOS 50</t>
  </si>
  <si>
    <t>JOS 500</t>
  </si>
  <si>
    <t>JOS 5100</t>
  </si>
  <si>
    <t>JOS 550</t>
  </si>
  <si>
    <t>JOS 5500</t>
  </si>
  <si>
    <t>JOS 5600</t>
  </si>
  <si>
    <t>JOS 5800</t>
  </si>
  <si>
    <t>JOS 600</t>
  </si>
  <si>
    <t>JOS 650</t>
  </si>
  <si>
    <t>JOS 700</t>
  </si>
  <si>
    <t>JOS 750</t>
  </si>
  <si>
    <t>JOS 800</t>
  </si>
  <si>
    <t>JOS 8000</t>
  </si>
  <si>
    <t>JOS 900</t>
  </si>
  <si>
    <t>Semi Precious</t>
  </si>
  <si>
    <t>JSP 100</t>
  </si>
  <si>
    <t>JSP 1000</t>
  </si>
  <si>
    <t>JSP 1200</t>
  </si>
  <si>
    <t>JSP 1300</t>
  </si>
  <si>
    <t>JSP 150</t>
  </si>
  <si>
    <t>JSP 250</t>
  </si>
  <si>
    <t>JSP 300</t>
  </si>
  <si>
    <t>JSP 350</t>
  </si>
  <si>
    <t>JSP 450</t>
  </si>
  <si>
    <t>JSP 50</t>
  </si>
  <si>
    <t>JSP 550</t>
  </si>
  <si>
    <t>JSP 600</t>
  </si>
  <si>
    <t>JSP 650</t>
  </si>
  <si>
    <t>JSP 700</t>
  </si>
  <si>
    <t>JSP 800</t>
  </si>
  <si>
    <t>JSP 900</t>
  </si>
  <si>
    <t>Synthetic Stones</t>
  </si>
  <si>
    <t>JSY 100</t>
  </si>
  <si>
    <t>JSY 150</t>
  </si>
  <si>
    <t>JSY 300</t>
  </si>
  <si>
    <t>JSY 50</t>
  </si>
  <si>
    <t>Shree Jewellers Eximp Private Limited</t>
  </si>
  <si>
    <t>3-6-354/1,2 &amp;18 Basheerbagh Branch</t>
  </si>
  <si>
    <t>AY 2026-2027</t>
  </si>
  <si>
    <t>Hyderabad - 500029</t>
  </si>
  <si>
    <t>CIN:U51398TG1997PTC026740</t>
  </si>
  <si>
    <r>
      <t xml:space="preserve">TRADING ACCOUNTS AS ON </t>
    </r>
    <r>
      <rPr>
        <b/>
        <u/>
        <sz val="11"/>
        <rFont val="Arial"/>
        <family val="2"/>
      </rPr>
      <t>31-03-2026</t>
    </r>
  </si>
  <si>
    <t>GOLD ACCOUNT - 24K</t>
  </si>
  <si>
    <t>Qty (Grms)</t>
  </si>
  <si>
    <t>Amount</t>
  </si>
  <si>
    <t>To Opening Stock</t>
  </si>
  <si>
    <t>By Sales</t>
  </si>
  <si>
    <t>To Purchases</t>
  </si>
  <si>
    <t>By Transfer to Head Office</t>
  </si>
  <si>
    <t xml:space="preserve"> </t>
  </si>
  <si>
    <t>Less: Purchase Returns</t>
  </si>
  <si>
    <t>By Closing stock</t>
  </si>
  <si>
    <t>To Gross Profit</t>
  </si>
  <si>
    <t>GOLD ORNAMENTS ACCOUNT - 22K</t>
  </si>
  <si>
    <t>Less: Sales Returns</t>
  </si>
  <si>
    <t>To Transfer from Head Office</t>
  </si>
  <si>
    <t>To Making Charges</t>
  </si>
  <si>
    <t>GOLD ORNAMENTS ACCOUNT - 18K</t>
  </si>
  <si>
    <t>Less: Returns</t>
  </si>
  <si>
    <t>on behalf of Board</t>
  </si>
  <si>
    <t>For HARI AGARWAL &amp; ASSOCIATES</t>
  </si>
  <si>
    <t>for Shree Jewellers Eximp Pvt Ltd</t>
  </si>
  <si>
    <t>Chartered Accountants</t>
  </si>
  <si>
    <t>FRN 001062S</t>
  </si>
  <si>
    <t xml:space="preserve">                                                                                                                             i</t>
  </si>
  <si>
    <t>Abhishek Agarwal</t>
  </si>
  <si>
    <t>Kaushik Kumar</t>
  </si>
  <si>
    <t>Hari Agarwal</t>
  </si>
  <si>
    <t>Director</t>
  </si>
  <si>
    <t>Partner</t>
  </si>
  <si>
    <t>DIN: 00518139</t>
  </si>
  <si>
    <t>DIN: 03047394</t>
  </si>
  <si>
    <t>M No 026059</t>
  </si>
  <si>
    <t>GOLD  ORNAMENTS ACCOUNT - 14K</t>
  </si>
  <si>
    <t>SILVER ACCOUNT</t>
  </si>
  <si>
    <t>DIAMONDS ACCOUNT</t>
  </si>
  <si>
    <t>Qty (Cts)</t>
  </si>
  <si>
    <t>EMERALDS ACCOUNT</t>
  </si>
  <si>
    <t>RUBIES ACCOUNT</t>
  </si>
  <si>
    <t>PEARLS ACCOUNT</t>
  </si>
  <si>
    <t>COLOR STONES ACCOUNT</t>
  </si>
  <si>
    <t xml:space="preserve">Trading Account Abstract </t>
  </si>
  <si>
    <t>Transfer (Receipts)</t>
  </si>
  <si>
    <t xml:space="preserve">Consumption (Issues) </t>
  </si>
  <si>
    <t>Making Charges</t>
  </si>
  <si>
    <t>CY G P %</t>
  </si>
  <si>
    <t>Qty in Gms / Cts</t>
  </si>
  <si>
    <t>Amount in Rs</t>
  </si>
  <si>
    <t>Gold Account 24K</t>
  </si>
  <si>
    <t>Gold Account 22K</t>
  </si>
  <si>
    <t>Gold Account 18K</t>
  </si>
  <si>
    <t>Gold Account 14K</t>
  </si>
  <si>
    <t>Silver Account</t>
  </si>
  <si>
    <t>Diamonds Account</t>
  </si>
  <si>
    <t>Pearls</t>
  </si>
  <si>
    <t>Color Stones Account</t>
  </si>
  <si>
    <t>DIAMONDS</t>
  </si>
  <si>
    <t>Diamonds</t>
  </si>
  <si>
    <t>Total Diamonds</t>
  </si>
  <si>
    <t>COLOR STONES</t>
  </si>
  <si>
    <t>TOTAL Colour 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</si>
</sst>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43" formatCode="_ * #,##0.00_ ;_ * \-#,##0.00_ ;_ * &quot;-&quot;??_ ;_ @_ "/>
    <numFmt numFmtId="165" formatCode="_(* #,##0.000_);_(* \(#,##0.000\);_(* &quot;-&quot;??_);_(@_)"/>
    <numFmt numFmtId="166" formatCode="_(* #,##0_);_(* \(#,##0\);_(* &quot;-&quot;??_);_(@_)"/>
    <numFmt numFmtId="167" formatCode="0.000"/>
    <numFmt numFmtId="168" formatCode="_ * #,##0.000_ ;_ * \-#,##0.000_ ;_ * &quot;-&quot;_ ;_ @_ "/>
    <numFmt numFmtId="169" formatCode="_ * #,##0_ ;_ * \-#,##0_ ;_ * &quot;-&quot;??_ ;_ @_ "/>
    <numFmt numFmtId="170" formatCode="_ * #,##0.000_ ;_ * \-#,##0.000_ ;_ * &quot;-&quot;???_ ;_ @_ "/>
    <numFmt numFmtId="171" formatCode="0.0000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name val="Aia"/>
    </font>
    <font>
      <b/>
      <u/>
      <sz val="11"/>
      <name val="Aia"/>
    </font>
    <font>
      <b/>
      <sz val="11"/>
      <name val="Aia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6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41" fontId="2" fillId="0" borderId="0" xfId="1" applyNumberFormat="1" applyFont="1" applyFill="1"/>
    <xf numFmtId="166" fontId="2" fillId="0" borderId="0" xfId="1" applyNumberFormat="1" applyFont="1" applyFill="1"/>
    <xf numFmtId="10" fontId="2" fillId="0" borderId="0" xfId="2" applyNumberFormat="1" applyFont="1" applyFill="1"/>
    <xf numFmtId="41" fontId="2" fillId="0" borderId="0" xfId="1" applyNumberFormat="1" applyFont="1" applyFill="1" applyAlignment="1">
      <alignment horizontal="right"/>
    </xf>
    <xf numFmtId="43" fontId="2" fillId="0" borderId="0" xfId="0" applyNumberFormat="1" applyFont="1"/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66" fontId="2" fillId="0" borderId="2" xfId="1" applyNumberFormat="1" applyFont="1" applyFill="1" applyBorder="1" applyAlignment="1">
      <alignment horizontal="center" wrapText="1"/>
    </xf>
    <xf numFmtId="165" fontId="2" fillId="0" borderId="3" xfId="1" applyNumberFormat="1" applyFont="1" applyFill="1" applyBorder="1" applyAlignment="1">
      <alignment horizontal="center" wrapText="1"/>
    </xf>
    <xf numFmtId="165" fontId="2" fillId="0" borderId="4" xfId="1" applyNumberFormat="1" applyFont="1" applyFill="1" applyBorder="1" applyAlignment="1">
      <alignment horizontal="center" wrapText="1"/>
    </xf>
    <xf numFmtId="167" fontId="2" fillId="0" borderId="3" xfId="0" applyNumberFormat="1" applyFont="1" applyBorder="1" applyAlignment="1">
      <alignment horizontal="center" wrapText="1"/>
    </xf>
    <xf numFmtId="167" fontId="2" fillId="0" borderId="4" xfId="0" applyNumberFormat="1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0" fontId="2" fillId="0" borderId="5" xfId="2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165" fontId="2" fillId="0" borderId="2" xfId="1" applyNumberFormat="1" applyFont="1" applyFill="1" applyBorder="1" applyAlignment="1">
      <alignment horizontal="center" wrapText="1"/>
    </xf>
    <xf numFmtId="41" fontId="2" fillId="0" borderId="2" xfId="1" applyNumberFormat="1" applyFont="1" applyFill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  <xf numFmtId="10" fontId="2" fillId="0" borderId="2" xfId="2" applyNumberFormat="1" applyFont="1" applyFill="1" applyBorder="1" applyAlignment="1">
      <alignment horizontal="center" wrapText="1"/>
    </xf>
    <xf numFmtId="10" fontId="2" fillId="0" borderId="6" xfId="2" applyNumberFormat="1" applyFont="1" applyFill="1" applyBorder="1" applyAlignment="1">
      <alignment horizontal="center" vertical="center" wrapText="1"/>
    </xf>
    <xf numFmtId="0" fontId="4" fillId="0" borderId="0" xfId="0" applyFont="1"/>
    <xf numFmtId="167" fontId="2" fillId="0" borderId="0" xfId="0" applyNumberFormat="1" applyFont="1"/>
    <xf numFmtId="165" fontId="2" fillId="0" borderId="0" xfId="1" applyNumberFormat="1" applyFont="1" applyFill="1" applyAlignment="1">
      <alignment horizontal="right"/>
    </xf>
    <xf numFmtId="168" fontId="2" fillId="0" borderId="0" xfId="1" applyNumberFormat="1" applyFont="1" applyFill="1" applyAlignment="1">
      <alignment horizontal="right"/>
    </xf>
    <xf numFmtId="167" fontId="2" fillId="0" borderId="0" xfId="0" applyNumberFormat="1" applyFont="1" applyAlignment="1">
      <alignment horizontal="right"/>
    </xf>
    <xf numFmtId="166" fontId="2" fillId="0" borderId="0" xfId="1" applyNumberFormat="1" applyFont="1" applyFill="1" applyAlignment="1">
      <alignment horizontal="right"/>
    </xf>
    <xf numFmtId="41" fontId="2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 applyAlignment="1"/>
    <xf numFmtId="169" fontId="2" fillId="0" borderId="0" xfId="1" applyNumberFormat="1" applyFont="1" applyFill="1" applyBorder="1" applyAlignment="1">
      <alignment horizontal="right"/>
    </xf>
    <xf numFmtId="41" fontId="2" fillId="0" borderId="0" xfId="1" applyNumberFormat="1" applyFont="1" applyFill="1" applyBorder="1" applyAlignment="1"/>
    <xf numFmtId="165" fontId="2" fillId="0" borderId="7" xfId="1" applyNumberFormat="1" applyFont="1" applyFill="1" applyBorder="1"/>
    <xf numFmtId="41" fontId="2" fillId="0" borderId="7" xfId="1" applyNumberFormat="1" applyFont="1" applyFill="1" applyBorder="1"/>
    <xf numFmtId="166" fontId="2" fillId="0" borderId="0" xfId="1" applyNumberFormat="1" applyFont="1" applyFill="1" applyAlignment="1"/>
    <xf numFmtId="166" fontId="2" fillId="0" borderId="7" xfId="1" applyNumberFormat="1" applyFont="1" applyFill="1" applyBorder="1"/>
    <xf numFmtId="10" fontId="2" fillId="0" borderId="7" xfId="2" applyNumberFormat="1" applyFont="1" applyFill="1" applyBorder="1"/>
    <xf numFmtId="41" fontId="2" fillId="0" borderId="0" xfId="1" applyNumberFormat="1" applyFont="1" applyFill="1" applyAlignment="1"/>
    <xf numFmtId="165" fontId="2" fillId="0" borderId="0" xfId="1" applyNumberFormat="1" applyFont="1" applyFill="1" applyAlignment="1"/>
    <xf numFmtId="165" fontId="5" fillId="0" borderId="0" xfId="1" applyNumberFormat="1" applyFont="1" applyFill="1"/>
    <xf numFmtId="41" fontId="4" fillId="0" borderId="0" xfId="1" applyNumberFormat="1" applyFont="1" applyFill="1" applyAlignment="1">
      <alignment horizontal="center"/>
    </xf>
    <xf numFmtId="41" fontId="2" fillId="0" borderId="0" xfId="1" applyNumberFormat="1" applyFont="1" applyFill="1" applyBorder="1" applyAlignment="1">
      <alignment horizontal="right" wrapText="1"/>
    </xf>
    <xf numFmtId="166" fontId="2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 applyAlignment="1">
      <alignment horizontal="right"/>
    </xf>
    <xf numFmtId="2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2" applyNumberFormat="1" applyFont="1" applyFill="1" applyAlignment="1">
      <alignment horizontal="center"/>
    </xf>
    <xf numFmtId="10" fontId="2" fillId="0" borderId="0" xfId="2" applyNumberFormat="1" applyFont="1" applyFill="1" applyAlignment="1">
      <alignment horizontal="right"/>
    </xf>
    <xf numFmtId="165" fontId="2" fillId="0" borderId="7" xfId="1" applyNumberFormat="1" applyFont="1" applyFill="1" applyBorder="1" applyAlignment="1">
      <alignment horizontal="right"/>
    </xf>
    <xf numFmtId="41" fontId="2" fillId="0" borderId="7" xfId="1" applyNumberFormat="1" applyFont="1" applyFill="1" applyBorder="1" applyAlignment="1">
      <alignment horizontal="right"/>
    </xf>
    <xf numFmtId="166" fontId="2" fillId="0" borderId="7" xfId="1" applyNumberFormat="1" applyFont="1" applyFill="1" applyBorder="1" applyAlignment="1">
      <alignment horizontal="right"/>
    </xf>
    <xf numFmtId="10" fontId="2" fillId="0" borderId="7" xfId="2" applyNumberFormat="1" applyFont="1" applyFill="1" applyBorder="1" applyAlignment="1">
      <alignment horizontal="right"/>
    </xf>
    <xf numFmtId="10" fontId="2" fillId="0" borderId="0" xfId="2" applyNumberFormat="1" applyFont="1" applyFill="1" applyBorder="1"/>
    <xf numFmtId="10" fontId="2" fillId="0" borderId="0" xfId="2" applyNumberFormat="1" applyFont="1" applyFill="1" applyBorder="1" applyAlignment="1">
      <alignment horizontal="right"/>
    </xf>
    <xf numFmtId="41" fontId="2" fillId="0" borderId="0" xfId="1" applyNumberFormat="1" applyFont="1" applyFill="1" applyBorder="1"/>
    <xf numFmtId="165" fontId="2" fillId="0" borderId="0" xfId="1" applyNumberFormat="1" applyFont="1" applyFill="1" applyBorder="1"/>
    <xf numFmtId="41" fontId="2" fillId="0" borderId="0" xfId="0" applyNumberFormat="1" applyFont="1"/>
    <xf numFmtId="170" fontId="2" fillId="0" borderId="0" xfId="0" applyNumberFormat="1" applyFont="1"/>
    <xf numFmtId="165" fontId="2" fillId="0" borderId="7" xfId="1" applyNumberFormat="1" applyFont="1" applyFill="1" applyBorder="1" applyAlignment="1">
      <alignment horizontal="right" wrapText="1"/>
    </xf>
    <xf numFmtId="41" fontId="2" fillId="0" borderId="7" xfId="1" applyNumberFormat="1" applyFont="1" applyFill="1" applyBorder="1" applyAlignment="1">
      <alignment horizontal="right" wrapText="1"/>
    </xf>
    <xf numFmtId="166" fontId="2" fillId="0" borderId="0" xfId="1" applyNumberFormat="1" applyFont="1" applyFill="1" applyBorder="1" applyAlignment="1">
      <alignment horizontal="right" wrapText="1"/>
    </xf>
    <xf numFmtId="165" fontId="2" fillId="0" borderId="0" xfId="1" applyNumberFormat="1" applyFont="1" applyFill="1" applyAlignment="1">
      <alignment horizontal="right" wrapText="1"/>
    </xf>
    <xf numFmtId="165" fontId="2" fillId="0" borderId="0" xfId="1" applyNumberFormat="1" applyFont="1" applyFill="1" applyBorder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0" fontId="6" fillId="0" borderId="8" xfId="0" applyFont="1" applyBorder="1"/>
    <xf numFmtId="165" fontId="6" fillId="0" borderId="9" xfId="1" applyNumberFormat="1" applyFont="1" applyFill="1" applyBorder="1" applyAlignment="1">
      <alignment horizontal="right"/>
    </xf>
    <xf numFmtId="166" fontId="6" fillId="0" borderId="9" xfId="1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165" fontId="2" fillId="0" borderId="2" xfId="1" applyNumberFormat="1" applyFont="1" applyFill="1" applyBorder="1" applyAlignment="1">
      <alignment horizontal="center" wrapText="1"/>
    </xf>
    <xf numFmtId="167" fontId="2" fillId="0" borderId="2" xfId="0" applyNumberFormat="1" applyFont="1" applyBorder="1" applyAlignment="1">
      <alignment horizontal="center" wrapText="1"/>
    </xf>
    <xf numFmtId="10" fontId="2" fillId="0" borderId="4" xfId="2" applyNumberFormat="1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165" fontId="2" fillId="0" borderId="0" xfId="0" applyNumberFormat="1" applyFont="1" applyAlignment="1">
      <alignment horizontal="right"/>
    </xf>
    <xf numFmtId="168" fontId="2" fillId="0" borderId="0" xfId="1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165" fontId="6" fillId="0" borderId="7" xfId="1" applyNumberFormat="1" applyFont="1" applyFill="1" applyBorder="1" applyAlignment="1">
      <alignment horizontal="right"/>
    </xf>
    <xf numFmtId="166" fontId="6" fillId="0" borderId="7" xfId="1" applyNumberFormat="1" applyFont="1" applyFill="1" applyBorder="1" applyAlignment="1">
      <alignment horizontal="right"/>
    </xf>
    <xf numFmtId="10" fontId="2" fillId="0" borderId="7" xfId="0" applyNumberFormat="1" applyFont="1" applyBorder="1"/>
    <xf numFmtId="165" fontId="2" fillId="0" borderId="0" xfId="0" applyNumberFormat="1" applyFont="1" applyAlignment="1">
      <alignment horizontal="center"/>
    </xf>
    <xf numFmtId="41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43" fontId="2" fillId="0" borderId="0" xfId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6" fillId="0" borderId="7" xfId="0" applyFont="1" applyBorder="1" applyAlignment="1">
      <alignment horizontal="center"/>
    </xf>
    <xf numFmtId="10" fontId="6" fillId="0" borderId="7" xfId="2" applyNumberFormat="1" applyFont="1" applyFill="1" applyBorder="1"/>
    <xf numFmtId="0" fontId="6" fillId="0" borderId="0" xfId="0" applyFont="1"/>
    <xf numFmtId="0" fontId="3" fillId="0" borderId="0" xfId="0" applyFont="1"/>
    <xf numFmtId="165" fontId="3" fillId="0" borderId="0" xfId="1" applyNumberFormat="1" applyFont="1" applyFill="1" applyAlignment="1">
      <alignment horizontal="right"/>
    </xf>
    <xf numFmtId="41" fontId="3" fillId="0" borderId="0" xfId="1" applyNumberFormat="1" applyFont="1" applyFill="1" applyBorder="1" applyAlignment="1">
      <alignment horizontal="right"/>
    </xf>
    <xf numFmtId="41" fontId="3" fillId="0" borderId="0" xfId="1" applyNumberFormat="1" applyFont="1" applyFill="1"/>
    <xf numFmtId="165" fontId="3" fillId="0" borderId="0" xfId="1" applyNumberFormat="1" applyFont="1" applyFill="1"/>
    <xf numFmtId="166" fontId="3" fillId="0" borderId="0" xfId="1" applyNumberFormat="1" applyFont="1" applyFill="1"/>
    <xf numFmtId="10" fontId="3" fillId="0" borderId="0" xfId="2" applyNumberFormat="1" applyFont="1" applyFill="1"/>
    <xf numFmtId="166" fontId="3" fillId="0" borderId="0" xfId="1" applyNumberFormat="1" applyFont="1" applyFill="1" applyBorder="1" applyAlignment="1">
      <alignment horizontal="right"/>
    </xf>
    <xf numFmtId="165" fontId="3" fillId="0" borderId="0" xfId="1" applyNumberFormat="1" applyFont="1" applyFill="1" applyBorder="1" applyAlignment="1">
      <alignment horizontal="right"/>
    </xf>
    <xf numFmtId="166" fontId="3" fillId="0" borderId="0" xfId="1" applyNumberFormat="1" applyFont="1" applyFill="1" applyBorder="1"/>
    <xf numFmtId="10" fontId="3" fillId="0" borderId="0" xfId="2" applyNumberFormat="1" applyFont="1" applyFill="1" applyBorder="1"/>
    <xf numFmtId="0" fontId="7" fillId="0" borderId="0" xfId="0" applyFont="1"/>
    <xf numFmtId="168" fontId="3" fillId="0" borderId="0" xfId="1" applyNumberFormat="1" applyFont="1" applyFill="1" applyBorder="1" applyAlignment="1">
      <alignment horizontal="right"/>
    </xf>
    <xf numFmtId="168" fontId="3" fillId="0" borderId="0" xfId="1" applyNumberFormat="1" applyFont="1" applyFill="1"/>
    <xf numFmtId="170" fontId="3" fillId="0" borderId="0" xfId="0" applyNumberFormat="1" applyFont="1"/>
    <xf numFmtId="41" fontId="3" fillId="0" borderId="0" xfId="0" applyNumberFormat="1" applyFont="1"/>
    <xf numFmtId="10" fontId="3" fillId="0" borderId="0" xfId="0" applyNumberFormat="1" applyFont="1"/>
    <xf numFmtId="0" fontId="8" fillId="0" borderId="0" xfId="0" applyFont="1"/>
    <xf numFmtId="165" fontId="8" fillId="0" borderId="7" xfId="1" applyNumberFormat="1" applyFont="1" applyFill="1" applyBorder="1" applyAlignment="1">
      <alignment horizontal="right"/>
    </xf>
    <xf numFmtId="166" fontId="8" fillId="0" borderId="7" xfId="1" applyNumberFormat="1" applyFont="1" applyFill="1" applyBorder="1" applyAlignment="1">
      <alignment horizontal="right"/>
    </xf>
    <xf numFmtId="10" fontId="8" fillId="0" borderId="7" xfId="2" applyNumberFormat="1" applyFont="1" applyFill="1" applyBorder="1"/>
    <xf numFmtId="10" fontId="8" fillId="0" borderId="7" xfId="0" applyNumberFormat="1" applyFont="1" applyBorder="1"/>
    <xf numFmtId="41" fontId="3" fillId="0" borderId="0" xfId="1" applyNumberFormat="1" applyFont="1" applyFill="1" applyBorder="1"/>
    <xf numFmtId="165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2" fillId="0" borderId="0" xfId="1" applyNumberFormat="1" applyFont="1" applyFill="1" applyBorder="1"/>
    <xf numFmtId="0" fontId="2" fillId="0" borderId="3" xfId="0" applyFont="1" applyBorder="1" applyAlignment="1">
      <alignment horizontal="center" wrapText="1"/>
    </xf>
    <xf numFmtId="10" fontId="2" fillId="0" borderId="10" xfId="2" applyNumberFormat="1" applyFont="1" applyFill="1" applyBorder="1"/>
    <xf numFmtId="0" fontId="6" fillId="0" borderId="7" xfId="0" applyFont="1" applyBorder="1"/>
    <xf numFmtId="167" fontId="6" fillId="0" borderId="7" xfId="0" applyNumberFormat="1" applyFont="1" applyBorder="1" applyAlignment="1">
      <alignment horizontal="right"/>
    </xf>
    <xf numFmtId="165" fontId="2" fillId="0" borderId="10" xfId="1" applyNumberFormat="1" applyFont="1" applyFill="1" applyBorder="1" applyAlignment="1">
      <alignment horizontal="right"/>
    </xf>
    <xf numFmtId="166" fontId="2" fillId="0" borderId="10" xfId="1" applyNumberFormat="1" applyFont="1" applyFill="1" applyBorder="1" applyAlignment="1">
      <alignment horizontal="right"/>
    </xf>
    <xf numFmtId="166" fontId="2" fillId="0" borderId="10" xfId="1" applyNumberFormat="1" applyFont="1" applyFill="1" applyBorder="1"/>
    <xf numFmtId="165" fontId="6" fillId="0" borderId="7" xfId="1" applyNumberFormat="1" applyFont="1" applyFill="1" applyBorder="1"/>
    <xf numFmtId="166" fontId="6" fillId="0" borderId="7" xfId="1" applyNumberFormat="1" applyFont="1" applyFill="1" applyBorder="1"/>
    <xf numFmtId="165" fontId="6" fillId="0" borderId="0" xfId="1" applyNumberFormat="1" applyFont="1" applyFill="1" applyBorder="1"/>
    <xf numFmtId="166" fontId="6" fillId="0" borderId="0" xfId="1" applyNumberFormat="1" applyFont="1" applyFill="1" applyBorder="1"/>
    <xf numFmtId="165" fontId="6" fillId="0" borderId="0" xfId="0" applyNumberFormat="1" applyFont="1"/>
    <xf numFmtId="0" fontId="6" fillId="0" borderId="11" xfId="0" applyFont="1" applyBorder="1" applyAlignment="1">
      <alignment wrapText="1"/>
    </xf>
    <xf numFmtId="165" fontId="6" fillId="0" borderId="12" xfId="1" applyNumberFormat="1" applyFont="1" applyFill="1" applyBorder="1"/>
    <xf numFmtId="166" fontId="6" fillId="0" borderId="12" xfId="1" applyNumberFormat="1" applyFont="1" applyFill="1" applyBorder="1"/>
    <xf numFmtId="10" fontId="6" fillId="0" borderId="13" xfId="2" applyNumberFormat="1" applyFont="1" applyFill="1" applyBorder="1"/>
    <xf numFmtId="0" fontId="9" fillId="0" borderId="0" xfId="0" applyFont="1" applyAlignment="1">
      <alignment horizontal="left"/>
    </xf>
    <xf numFmtId="165" fontId="9" fillId="0" borderId="0" xfId="1" applyNumberFormat="1" applyFont="1" applyFill="1"/>
    <xf numFmtId="166" fontId="9" fillId="0" borderId="0" xfId="1" applyNumberFormat="1" applyFont="1" applyFill="1" applyAlignment="1">
      <alignment horizontal="center"/>
    </xf>
    <xf numFmtId="2" fontId="9" fillId="0" borderId="0" xfId="0" applyNumberFormat="1" applyFont="1"/>
    <xf numFmtId="166" fontId="9" fillId="0" borderId="0" xfId="1" applyNumberFormat="1" applyFont="1" applyFill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0" xfId="1" applyNumberFormat="1" applyFont="1" applyFill="1" applyAlignment="1">
      <alignment horizontal="center" vertical="center"/>
    </xf>
    <xf numFmtId="166" fontId="10" fillId="0" borderId="0" xfId="1" applyNumberFormat="1" applyFont="1" applyFill="1" applyAlignment="1">
      <alignment horizontal="center" vertical="center"/>
    </xf>
    <xf numFmtId="165" fontId="10" fillId="0" borderId="0" xfId="1" applyNumberFormat="1" applyFont="1" applyFill="1" applyAlignment="1">
      <alignment horizontal="center"/>
    </xf>
    <xf numFmtId="166" fontId="10" fillId="0" borderId="0" xfId="1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wrapText="1"/>
    </xf>
    <xf numFmtId="1" fontId="9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center"/>
    </xf>
    <xf numFmtId="166" fontId="9" fillId="0" borderId="0" xfId="0" applyNumberFormat="1" applyFont="1"/>
    <xf numFmtId="167" fontId="9" fillId="0" borderId="0" xfId="0" applyNumberFormat="1" applyFont="1" applyAlignment="1">
      <alignment horizontal="center"/>
    </xf>
    <xf numFmtId="165" fontId="9" fillId="0" borderId="1" xfId="1" applyNumberFormat="1" applyFont="1" applyFill="1" applyBorder="1"/>
    <xf numFmtId="166" fontId="9" fillId="0" borderId="1" xfId="1" applyNumberFormat="1" applyFont="1" applyFill="1" applyBorder="1"/>
    <xf numFmtId="2" fontId="3" fillId="0" borderId="0" xfId="0" applyNumberFormat="1" applyFont="1"/>
    <xf numFmtId="1" fontId="9" fillId="0" borderId="0" xfId="0" applyNumberFormat="1" applyFont="1" applyAlignment="1">
      <alignment horizontal="right"/>
    </xf>
    <xf numFmtId="165" fontId="9" fillId="0" borderId="7" xfId="1" applyNumberFormat="1" applyFont="1" applyFill="1" applyBorder="1" applyAlignment="1">
      <alignment horizontal="right"/>
    </xf>
    <xf numFmtId="166" fontId="9" fillId="0" borderId="7" xfId="1" applyNumberFormat="1" applyFont="1" applyFill="1" applyBorder="1" applyAlignment="1">
      <alignment horizontal="right"/>
    </xf>
    <xf numFmtId="1" fontId="9" fillId="0" borderId="0" xfId="1" applyNumberFormat="1" applyFont="1" applyFill="1"/>
    <xf numFmtId="165" fontId="9" fillId="0" borderId="7" xfId="1" applyNumberFormat="1" applyFont="1" applyFill="1" applyBorder="1"/>
    <xf numFmtId="166" fontId="9" fillId="0" borderId="7" xfId="1" applyNumberFormat="1" applyFont="1" applyFill="1" applyBorder="1"/>
    <xf numFmtId="167" fontId="9" fillId="0" borderId="0" xfId="0" applyNumberFormat="1" applyFont="1" applyAlignment="1">
      <alignment horizontal="right"/>
    </xf>
    <xf numFmtId="165" fontId="9" fillId="0" borderId="0" xfId="1" applyNumberFormat="1" applyFont="1" applyFill="1" applyBorder="1" applyAlignment="1">
      <alignment horizontal="right"/>
    </xf>
    <xf numFmtId="166" fontId="9" fillId="0" borderId="0" xfId="1" applyNumberFormat="1" applyFont="1" applyFill="1" applyBorder="1"/>
    <xf numFmtId="165" fontId="9" fillId="0" borderId="0" xfId="1" applyNumberFormat="1" applyFont="1" applyFill="1" applyBorder="1"/>
    <xf numFmtId="165" fontId="9" fillId="0" borderId="0" xfId="1" applyNumberFormat="1" applyFont="1" applyFill="1" applyAlignment="1">
      <alignment horizontal="right"/>
    </xf>
    <xf numFmtId="0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5" fontId="9" fillId="0" borderId="0" xfId="1" applyNumberFormat="1" applyFont="1" applyFill="1" applyAlignment="1">
      <alignment horizontal="center"/>
    </xf>
    <xf numFmtId="166" fontId="9" fillId="0" borderId="0" xfId="1" applyNumberFormat="1" applyFont="1" applyFill="1" applyBorder="1" applyAlignment="1">
      <alignment horizontal="center"/>
    </xf>
    <xf numFmtId="166" fontId="9" fillId="0" borderId="0" xfId="1" applyNumberFormat="1" applyFont="1" applyFill="1" applyAlignment="1">
      <alignment horizontal="center"/>
    </xf>
    <xf numFmtId="165" fontId="11" fillId="0" borderId="0" xfId="1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1" applyNumberFormat="1" applyFont="1" applyFill="1" applyBorder="1" applyAlignment="1">
      <alignment horizontal="center" vertical="center"/>
    </xf>
    <xf numFmtId="171" fontId="9" fillId="0" borderId="0" xfId="0" applyNumberFormat="1" applyFont="1"/>
    <xf numFmtId="167" fontId="9" fillId="0" borderId="0" xfId="0" applyNumberFormat="1" applyFont="1"/>
    <xf numFmtId="2" fontId="9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167" fontId="6" fillId="0" borderId="2" xfId="0" applyNumberFormat="1" applyFont="1" applyBorder="1" applyAlignment="1">
      <alignment horizontal="center" wrapText="1"/>
    </xf>
    <xf numFmtId="166" fontId="6" fillId="0" borderId="2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5" fontId="12" fillId="0" borderId="2" xfId="1" applyNumberFormat="1" applyFont="1" applyFill="1" applyBorder="1" applyAlignment="1">
      <alignment horizontal="center" wrapText="1"/>
    </xf>
    <xf numFmtId="166" fontId="12" fillId="0" borderId="2" xfId="1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7" xfId="0" applyFont="1" applyBorder="1" applyAlignment="1">
      <alignment wrapText="1"/>
    </xf>
    <xf numFmtId="165" fontId="2" fillId="0" borderId="0" xfId="1" applyNumberFormat="1" applyFont="1" applyFill="1" applyBorder="1" applyAlignment="1">
      <alignment wrapText="1"/>
    </xf>
    <xf numFmtId="166" fontId="2" fillId="0" borderId="0" xfId="1" applyNumberFormat="1" applyFont="1" applyFill="1" applyBorder="1" applyAlignme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0" fontId="6" fillId="0" borderId="0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ff61751a95072f2/Desktop/New%20folder/Fin%20new%20inputs/BB%20Financial%20Inputs/BB%20Financial%20Inputs/Financials%20Eximp%20Basheerbagh%20Branch%2031.03.2026.xlsx" TargetMode="External"/><Relationship Id="rId1" Type="http://schemas.openxmlformats.org/officeDocument/2006/relationships/externalLinkPath" Target="BB%20Financial%20Inputs/BB%20Financial%20Inputs/Financials%20Eximp%20Basheerbagh%20Branch%2031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Sheet,Details of Pur"/>
      <sheetName val="Cash Flow"/>
      <sheetName val="Profit &amp; Loss Account"/>
      <sheetName val="ITR 6 Format"/>
      <sheetName val="Deferred Tax Liability"/>
      <sheetName val="Depreciation"/>
      <sheetName val="T Shape"/>
      <sheetName val="Trading"/>
      <sheetName val="Abstract"/>
      <sheetName val="Sheet2"/>
      <sheetName val="Dia"/>
      <sheetName val="Eme"/>
      <sheetName val="Prls"/>
      <sheetName val="Rubi"/>
      <sheetName val="Prec"/>
      <sheetName val="BS"/>
      <sheetName val="PL"/>
      <sheetName val="cashflow"/>
      <sheetName val="BS Ann"/>
      <sheetName val="PL Ann"/>
      <sheetName val="Adv Frm customers"/>
      <sheetName val="Salary and Bonus Annex"/>
      <sheetName val="S Crs&amp; Drs"/>
      <sheetName val="Salaries &amp; Bonus"/>
      <sheetName val="Dep Co"/>
      <sheetName val="Details of Fixed Assets"/>
      <sheetName val="Dep IT"/>
      <sheetName val="Def 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Shree Jewellers Eximp Private Limited</v>
          </cell>
        </row>
        <row r="2">
          <cell r="A2" t="str">
            <v>3-6-354/1,2 &amp;18 Basheerbagh Branch</v>
          </cell>
          <cell r="G2" t="str">
            <v>AY 2026-2027</v>
          </cell>
        </row>
        <row r="3">
          <cell r="A3" t="str">
            <v>Hyderabad - 500029</v>
          </cell>
        </row>
        <row r="4">
          <cell r="A4" t="str">
            <v>CIN:U51398TG1997PTC026740</v>
          </cell>
        </row>
        <row r="11">
          <cell r="B11">
            <v>2127.58</v>
          </cell>
          <cell r="C11">
            <v>16798636.264192738</v>
          </cell>
          <cell r="F11">
            <v>332.68999999999988</v>
          </cell>
          <cell r="G11">
            <v>3433399.6269999999</v>
          </cell>
        </row>
        <row r="13">
          <cell r="F13">
            <v>5683.63</v>
          </cell>
          <cell r="G13">
            <v>54251442.750323415</v>
          </cell>
        </row>
        <row r="15">
          <cell r="B15">
            <v>4104.3</v>
          </cell>
          <cell r="C15">
            <v>43206003.922999993</v>
          </cell>
          <cell r="F15">
            <v>215.5600000000004</v>
          </cell>
          <cell r="G15">
            <v>3042818.5774384569</v>
          </cell>
        </row>
        <row r="17">
          <cell r="C17">
            <v>723020.7675691396</v>
          </cell>
        </row>
        <row r="24">
          <cell r="B24">
            <v>32686.070999999934</v>
          </cell>
          <cell r="C24">
            <v>201955626.64022809</v>
          </cell>
        </row>
        <row r="26">
          <cell r="F26">
            <v>15107.354999999958</v>
          </cell>
          <cell r="G26">
            <v>185744092.153</v>
          </cell>
        </row>
        <row r="28">
          <cell r="B28">
            <v>2477.42</v>
          </cell>
          <cell r="C28">
            <v>32858502.817999993</v>
          </cell>
          <cell r="F28">
            <v>75719.36599999998</v>
          </cell>
          <cell r="G28">
            <v>608061025.61812818</v>
          </cell>
        </row>
        <row r="30">
          <cell r="B30">
            <v>55663.23</v>
          </cell>
          <cell r="C30">
            <v>494565843.49072063</v>
          </cell>
        </row>
        <row r="32">
          <cell r="C32">
            <v>0</v>
          </cell>
        </row>
        <row r="34">
          <cell r="C34">
            <v>64425144.822179556</v>
          </cell>
        </row>
        <row r="41">
          <cell r="B41">
            <v>33674.417999999961</v>
          </cell>
          <cell r="C41">
            <v>190783370.98359385</v>
          </cell>
        </row>
        <row r="43">
          <cell r="F43">
            <v>12388.070999999984</v>
          </cell>
          <cell r="G43">
            <v>125015070.662</v>
          </cell>
        </row>
        <row r="45">
          <cell r="B45">
            <v>0</v>
          </cell>
          <cell r="C45">
            <v>0</v>
          </cell>
          <cell r="F45">
            <v>82173.064999999988</v>
          </cell>
          <cell r="G45">
            <v>603226740.74670458</v>
          </cell>
        </row>
        <row r="47">
          <cell r="B47">
            <v>60886.718000000001</v>
          </cell>
          <cell r="C47">
            <v>503383335.23073393</v>
          </cell>
        </row>
        <row r="51">
          <cell r="C51">
            <v>34075105.194376707</v>
          </cell>
        </row>
        <row r="74">
          <cell r="B74">
            <v>1047.8490000000002</v>
          </cell>
          <cell r="C74">
            <v>5214821.5402473947</v>
          </cell>
          <cell r="F74">
            <v>231.73000000000002</v>
          </cell>
          <cell r="G74">
            <v>1989631.5420000001</v>
          </cell>
        </row>
        <row r="76">
          <cell r="F76">
            <v>1130.0859999999998</v>
          </cell>
          <cell r="G76">
            <v>6702119.4559568875</v>
          </cell>
        </row>
        <row r="78">
          <cell r="B78">
            <v>0</v>
          </cell>
          <cell r="C78">
            <v>0</v>
          </cell>
        </row>
        <row r="80">
          <cell r="B80">
            <v>313.96699999999964</v>
          </cell>
          <cell r="C80">
            <v>2861602.2974369805</v>
          </cell>
        </row>
        <row r="82">
          <cell r="C82">
            <v>615327.16027251165</v>
          </cell>
        </row>
        <row r="90">
          <cell r="B90">
            <v>94754.739999999991</v>
          </cell>
          <cell r="C90">
            <v>7220770.0663112225</v>
          </cell>
          <cell r="F90">
            <v>56363.145000000004</v>
          </cell>
          <cell r="G90">
            <v>9476551.3849999998</v>
          </cell>
        </row>
        <row r="92">
          <cell r="F92">
            <v>118656.675</v>
          </cell>
          <cell r="G92">
            <v>11258536.27263895</v>
          </cell>
        </row>
        <row r="94">
          <cell r="B94">
            <v>0</v>
          </cell>
          <cell r="C94">
            <v>0</v>
          </cell>
        </row>
        <row r="96">
          <cell r="B96">
            <v>80265.08</v>
          </cell>
          <cell r="C96">
            <v>9385687.1085652858</v>
          </cell>
        </row>
        <row r="98">
          <cell r="C98">
            <v>4128630.4827624448</v>
          </cell>
        </row>
        <row r="111">
          <cell r="C111">
            <v>13548633.967692792</v>
          </cell>
        </row>
        <row r="134">
          <cell r="B134">
            <v>12561.88</v>
          </cell>
          <cell r="C134">
            <v>4745374.2122262893</v>
          </cell>
        </row>
        <row r="140">
          <cell r="C140">
            <v>731223.38202612009</v>
          </cell>
        </row>
        <row r="147">
          <cell r="B147">
            <v>5816.61</v>
          </cell>
          <cell r="C147">
            <v>2426140.2081927308</v>
          </cell>
        </row>
        <row r="158">
          <cell r="B158">
            <v>6484.6210000000001</v>
          </cell>
          <cell r="C158">
            <v>3573018.9020680427</v>
          </cell>
        </row>
        <row r="175">
          <cell r="C175">
            <v>506841.57786021382</v>
          </cell>
        </row>
      </sheetData>
      <sheetData sheetId="8"/>
      <sheetData sheetId="9"/>
      <sheetData sheetId="10">
        <row r="1">
          <cell r="A1" t="str">
            <v>Shree Jewellers Eximp Private Limited</v>
          </cell>
        </row>
        <row r="2">
          <cell r="A2" t="str">
            <v>3-6-354/1,2 &amp;18 Basheerbagh Branch</v>
          </cell>
          <cell r="X2" t="str">
            <v>AY 2026-2027</v>
          </cell>
        </row>
        <row r="3">
          <cell r="A3" t="str">
            <v>Hyderabad - 500029</v>
          </cell>
        </row>
        <row r="5">
          <cell r="AA5" t="str">
            <v>GP AY 2025-26</v>
          </cell>
        </row>
        <row r="7">
          <cell r="A7" t="str">
            <v>Diamonds - Beads</v>
          </cell>
        </row>
        <row r="10">
          <cell r="B10">
            <v>263.02999999999997</v>
          </cell>
          <cell r="C10">
            <v>347107.83809517615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85.169999999999987</v>
          </cell>
          <cell r="V10">
            <v>387380</v>
          </cell>
          <cell r="W10">
            <v>177.85999999999999</v>
          </cell>
          <cell r="X10">
            <v>234713.15090905232</v>
          </cell>
        </row>
        <row r="12">
          <cell r="A12" t="str">
            <v>Diamonds Rosecut diamonds</v>
          </cell>
        </row>
        <row r="26">
          <cell r="B26">
            <v>110.89000000000001</v>
          </cell>
          <cell r="C26">
            <v>3045855.05213957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105.80999999999999</v>
          </cell>
          <cell r="I26">
            <v>2384968.5460435064</v>
          </cell>
          <cell r="O26">
            <v>0</v>
          </cell>
          <cell r="P26">
            <v>0</v>
          </cell>
          <cell r="Q26">
            <v>1.0199999999999996</v>
          </cell>
          <cell r="R26">
            <v>25499.999999999985</v>
          </cell>
          <cell r="U26">
            <v>73.45</v>
          </cell>
          <cell r="V26">
            <v>1196030</v>
          </cell>
          <cell r="W26">
            <v>142.22999999999996</v>
          </cell>
          <cell r="X26">
            <v>4274320.2827054104</v>
          </cell>
        </row>
        <row r="28">
          <cell r="A28" t="str">
            <v>Uncut - diamonds</v>
          </cell>
        </row>
        <row r="32">
          <cell r="B32">
            <v>434.61</v>
          </cell>
          <cell r="C32">
            <v>657245.94283078425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O32">
            <v>0</v>
          </cell>
          <cell r="P32">
            <v>0</v>
          </cell>
          <cell r="Q32">
            <v>327.21000000000004</v>
          </cell>
          <cell r="R32">
            <v>501676.67839229829</v>
          </cell>
          <cell r="U32">
            <v>4.4000000000000004</v>
          </cell>
          <cell r="V32">
            <v>13200</v>
          </cell>
          <cell r="W32">
            <v>103</v>
          </cell>
          <cell r="X32">
            <v>151327.7529992963</v>
          </cell>
        </row>
        <row r="34">
          <cell r="A34" t="str">
            <v>Diamonds - Flat polki</v>
          </cell>
        </row>
        <row r="50">
          <cell r="B50">
            <v>1194.4150000000004</v>
          </cell>
          <cell r="C50">
            <v>11443318.107466256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216.26000000000002</v>
          </cell>
          <cell r="I50">
            <v>3859949.4118558615</v>
          </cell>
          <cell r="O50">
            <v>0</v>
          </cell>
          <cell r="P50">
            <v>0</v>
          </cell>
          <cell r="Q50">
            <v>260.50000000000023</v>
          </cell>
          <cell r="R50">
            <v>1949447.9419765957</v>
          </cell>
          <cell r="U50">
            <v>386.47</v>
          </cell>
          <cell r="V50">
            <v>6558978.1210000003</v>
          </cell>
          <cell r="W50">
            <v>763.7049999999997</v>
          </cell>
          <cell r="X50">
            <v>8047018.1394359153</v>
          </cell>
        </row>
        <row r="81">
          <cell r="B81">
            <v>5102.5149999999985</v>
          </cell>
          <cell r="C81">
            <v>156010963.54304796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3083.920000000001</v>
          </cell>
          <cell r="I81">
            <v>94341222.932311565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U81">
            <v>1992.0349999999983</v>
          </cell>
          <cell r="V81">
            <v>80532201.434999987</v>
          </cell>
          <cell r="W81">
            <v>6194.4000000000005</v>
          </cell>
          <cell r="X81">
            <v>181767471.8390649</v>
          </cell>
        </row>
        <row r="84">
          <cell r="B84">
            <v>7105.4599999999991</v>
          </cell>
          <cell r="C84">
            <v>171504490.48357975</v>
          </cell>
          <cell r="D84">
            <v>0</v>
          </cell>
          <cell r="E84">
            <v>0</v>
          </cell>
          <cell r="H84">
            <v>3405.9900000000011</v>
          </cell>
          <cell r="I84">
            <v>100586140.89021093</v>
          </cell>
          <cell r="Q84">
            <v>588.73000000000025</v>
          </cell>
          <cell r="R84">
            <v>2476624.6203688942</v>
          </cell>
          <cell r="U84">
            <v>2541.5249999999983</v>
          </cell>
          <cell r="V84">
            <v>88687789.555999994</v>
          </cell>
          <cell r="W84">
            <v>7381.1949999999997</v>
          </cell>
          <cell r="X84">
            <v>194474851.16511458</v>
          </cell>
        </row>
      </sheetData>
      <sheetData sheetId="11">
        <row r="1">
          <cell r="A1" t="str">
            <v>Shree Jewellers Eximp Private Limited</v>
          </cell>
        </row>
        <row r="2">
          <cell r="A2" t="str">
            <v>3-6-354/1,2 &amp;18 Basheerbagh Branch</v>
          </cell>
          <cell r="X2" t="str">
            <v>AY 2026-2027</v>
          </cell>
        </row>
        <row r="3">
          <cell r="A3" t="str">
            <v>Hyderabad - 500029</v>
          </cell>
        </row>
        <row r="6">
          <cell r="AA6" t="str">
            <v>GP AY 2025-26</v>
          </cell>
        </row>
        <row r="8">
          <cell r="A8" t="str">
            <v>Emeralds</v>
          </cell>
        </row>
        <row r="62">
          <cell r="B62">
            <v>12561.88</v>
          </cell>
          <cell r="C62">
            <v>4745374.2122262893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7251.02</v>
          </cell>
          <cell r="I62">
            <v>253705.76041027674</v>
          </cell>
          <cell r="O62">
            <v>0</v>
          </cell>
          <cell r="P62">
            <v>0</v>
          </cell>
          <cell r="Q62">
            <v>4665.6800000000012</v>
          </cell>
          <cell r="R62">
            <v>2210414.2522794371</v>
          </cell>
          <cell r="U62">
            <v>4145.7900000000027</v>
          </cell>
          <cell r="V62">
            <v>2596585.517</v>
          </cell>
          <cell r="W62">
            <v>11001.43</v>
          </cell>
          <cell r="X62">
            <v>923303.5853832491</v>
          </cell>
        </row>
      </sheetData>
      <sheetData sheetId="12">
        <row r="2">
          <cell r="X2" t="str">
            <v>AY 2026-2027</v>
          </cell>
        </row>
        <row r="7">
          <cell r="AA7" t="str">
            <v>GP AY 2025-26</v>
          </cell>
        </row>
        <row r="39">
          <cell r="B39">
            <v>6484.6210000000001</v>
          </cell>
          <cell r="C39">
            <v>3573018.9020680427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2255.8350000000005</v>
          </cell>
          <cell r="I39">
            <v>389348.55202912132</v>
          </cell>
          <cell r="J39">
            <v>2255.8350000000005</v>
          </cell>
          <cell r="K39">
            <v>389348.55202912132</v>
          </cell>
          <cell r="O39">
            <v>0</v>
          </cell>
          <cell r="P39">
            <v>0</v>
          </cell>
          <cell r="Q39">
            <v>3400.7219999999998</v>
          </cell>
          <cell r="R39">
            <v>2634525.6175186979</v>
          </cell>
          <cell r="S39">
            <v>3400.7219999999998</v>
          </cell>
          <cell r="T39">
            <v>2634525.6175186979</v>
          </cell>
          <cell r="U39">
            <v>2821.7559999999999</v>
          </cell>
          <cell r="V39">
            <v>841361.39999999991</v>
          </cell>
          <cell r="W39">
            <v>2517.9780000000005</v>
          </cell>
          <cell r="X39">
            <v>678279.02211440157</v>
          </cell>
          <cell r="Y39">
            <v>191798.58553593609</v>
          </cell>
        </row>
      </sheetData>
      <sheetData sheetId="13">
        <row r="2">
          <cell r="X2" t="str">
            <v>AY 2026-2027</v>
          </cell>
        </row>
        <row r="7">
          <cell r="AA7" t="str">
            <v>GP AY 2025-26</v>
          </cell>
        </row>
        <row r="9">
          <cell r="A9" t="str">
            <v xml:space="preserve">Rubies </v>
          </cell>
        </row>
        <row r="40">
          <cell r="B40">
            <v>5816.61</v>
          </cell>
          <cell r="C40">
            <v>2426140.2081927308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2726.0399999999995</v>
          </cell>
          <cell r="I40">
            <v>71096.143697062915</v>
          </cell>
          <cell r="O40">
            <v>0</v>
          </cell>
          <cell r="P40">
            <v>0</v>
          </cell>
          <cell r="Q40">
            <v>2633.3199999999997</v>
          </cell>
          <cell r="R40">
            <v>1437700.3054658747</v>
          </cell>
          <cell r="S40">
            <v>2633.3199999999997</v>
          </cell>
          <cell r="T40">
            <v>1437700.3054658747</v>
          </cell>
          <cell r="U40">
            <v>1631.8049999999978</v>
          </cell>
          <cell r="V40">
            <v>750427.1</v>
          </cell>
          <cell r="W40">
            <v>4277.5250000000005</v>
          </cell>
          <cell r="X40">
            <v>507971.93749466899</v>
          </cell>
          <cell r="Y40">
            <v>198862.9910707502</v>
          </cell>
        </row>
      </sheetData>
      <sheetData sheetId="14">
        <row r="49">
          <cell r="B49">
            <v>45517.49</v>
          </cell>
          <cell r="C49">
            <v>30593811.121947542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481.26</v>
          </cell>
          <cell r="I49">
            <v>336690.20453769574</v>
          </cell>
          <cell r="O49">
            <v>0</v>
          </cell>
          <cell r="P49">
            <v>0</v>
          </cell>
          <cell r="Q49">
            <v>23757.484000000004</v>
          </cell>
          <cell r="R49">
            <v>25729158.064685747</v>
          </cell>
          <cell r="S49">
            <v>23757.484000000004</v>
          </cell>
          <cell r="T49">
            <v>25729158.064685747</v>
          </cell>
          <cell r="U49">
            <v>15473.869999999986</v>
          </cell>
          <cell r="V49">
            <v>2145519.5</v>
          </cell>
          <cell r="W49">
            <v>6767.3960000000179</v>
          </cell>
          <cell r="X49">
            <v>3552237.9445280726</v>
          </cell>
        </row>
        <row r="77">
          <cell r="B77">
            <v>11170.800000000001</v>
          </cell>
          <cell r="C77">
            <v>2444265.1385538145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758.66000000000008</v>
          </cell>
          <cell r="I77">
            <v>489467.22003304941</v>
          </cell>
          <cell r="O77">
            <v>0</v>
          </cell>
          <cell r="P77">
            <v>0</v>
          </cell>
          <cell r="Q77">
            <v>8080.2000000000007</v>
          </cell>
          <cell r="R77">
            <v>2049213.9110190081</v>
          </cell>
          <cell r="S77">
            <v>8080.2000000000007</v>
          </cell>
          <cell r="T77">
            <v>2049213.9110190081</v>
          </cell>
          <cell r="U77">
            <v>27.36</v>
          </cell>
          <cell r="V77">
            <v>2736</v>
          </cell>
          <cell r="W77">
            <v>3821.9000000000005</v>
          </cell>
          <cell r="X77">
            <v>882231.34324499033</v>
          </cell>
        </row>
        <row r="87">
          <cell r="B87">
            <v>1217.365</v>
          </cell>
          <cell r="C87">
            <v>95255.912465442743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O87">
            <v>0</v>
          </cell>
          <cell r="P87">
            <v>0</v>
          </cell>
          <cell r="Q87">
            <v>754.21</v>
          </cell>
          <cell r="R87">
            <v>63681.032814733175</v>
          </cell>
          <cell r="S87">
            <v>754.21</v>
          </cell>
          <cell r="T87">
            <v>63681.032814733175</v>
          </cell>
          <cell r="U87">
            <v>129.23999999999998</v>
          </cell>
          <cell r="V87">
            <v>23862</v>
          </cell>
          <cell r="W87">
            <v>333.91499999999996</v>
          </cell>
          <cell r="X87">
            <v>17691.379105211599</v>
          </cell>
        </row>
        <row r="89">
          <cell r="B89">
            <v>57905.654999999999</v>
          </cell>
          <cell r="C89">
            <v>33133332.172966801</v>
          </cell>
          <cell r="D89">
            <v>0</v>
          </cell>
          <cell r="E89">
            <v>0</v>
          </cell>
          <cell r="H89">
            <v>1239.92</v>
          </cell>
          <cell r="I89">
            <v>826157.42457074509</v>
          </cell>
          <cell r="Q89">
            <v>32591.894000000004</v>
          </cell>
          <cell r="R89">
            <v>27842053.008519489</v>
          </cell>
          <cell r="U89">
            <v>15630.469999999987</v>
          </cell>
          <cell r="V89">
            <v>2172117.5</v>
          </cell>
          <cell r="W89">
            <v>10923.211000000018</v>
          </cell>
          <cell r="X89">
            <v>4452160.6668782746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0869-058F-4540-A2BD-2DF8B10F5507}">
  <dimension ref="A1:AE84"/>
  <sheetViews>
    <sheetView workbookViewId="0">
      <selection sqref="A1:XFD1048576"/>
    </sheetView>
  </sheetViews>
  <sheetFormatPr defaultColWidth="9.33203125" defaultRowHeight="13.8"/>
  <cols>
    <col min="1" max="1" width="15.5546875" style="1" customWidth="1"/>
    <col min="2" max="2" width="12.33203125" style="2" bestFit="1" customWidth="1"/>
    <col min="3" max="3" width="14.44140625" style="3" customWidth="1"/>
    <col min="4" max="4" width="8.33203125" style="2" customWidth="1"/>
    <col min="5" max="5" width="9.33203125" style="3"/>
    <col min="6" max="6" width="13.33203125" style="3" hidden="1" customWidth="1"/>
    <col min="7" max="7" width="14.44140625" style="3" hidden="1" customWidth="1"/>
    <col min="8" max="8" width="12.6640625" style="3" customWidth="1"/>
    <col min="9" max="9" width="15.33203125" style="3" bestFit="1" customWidth="1"/>
    <col min="10" max="10" width="12.6640625" style="2" hidden="1" customWidth="1"/>
    <col min="11" max="11" width="14.5546875" style="3" hidden="1" customWidth="1"/>
    <col min="12" max="12" width="12.6640625" style="1" customWidth="1"/>
    <col min="13" max="13" width="18.6640625" style="3" bestFit="1" customWidth="1"/>
    <col min="14" max="14" width="24.6640625" style="4" customWidth="1"/>
    <col min="15" max="15" width="11.6640625" style="2" hidden="1" customWidth="1"/>
    <col min="16" max="16" width="32.6640625" style="4" customWidth="1"/>
    <col min="17" max="17" width="12.33203125" style="2" bestFit="1" customWidth="1"/>
    <col min="18" max="18" width="14.109375" style="4" bestFit="1" customWidth="1"/>
    <col min="19" max="19" width="12.109375" style="2" hidden="1" customWidth="1"/>
    <col min="20" max="20" width="14.5546875" style="3" hidden="1" customWidth="1"/>
    <col min="21" max="21" width="12.109375" style="2" bestFit="1" customWidth="1"/>
    <col min="22" max="22" width="14.109375" style="3" bestFit="1" customWidth="1"/>
    <col min="23" max="23" width="12.6640625" style="2" customWidth="1"/>
    <col min="24" max="24" width="15.6640625" style="3" customWidth="1"/>
    <col min="25" max="25" width="13" style="4" customWidth="1"/>
    <col min="26" max="26" width="13.5546875" style="5" bestFit="1" customWidth="1"/>
    <col min="27" max="27" width="9.6640625" style="5" customWidth="1"/>
    <col min="28" max="28" width="9.44140625" style="5" bestFit="1" customWidth="1"/>
    <col min="29" max="30" width="9.33203125" style="1"/>
    <col min="31" max="31" width="11.44140625" style="1" customWidth="1"/>
    <col min="32" max="16384" width="9.33203125" style="1"/>
  </cols>
  <sheetData>
    <row r="1" spans="1:31">
      <c r="A1" s="1" t="str">
        <f>+[1]Trading!A1</f>
        <v>Shree Jewellers Eximp Private Limited</v>
      </c>
      <c r="S1" s="2">
        <v>0</v>
      </c>
    </row>
    <row r="2" spans="1:31">
      <c r="A2" s="1" t="str">
        <f>+[1]Trading!A2</f>
        <v>3-6-354/1,2 &amp;18 Basheerbagh Branch</v>
      </c>
      <c r="X2" s="6" t="str">
        <f>+[1]Trading!G2</f>
        <v>AY 2026-2027</v>
      </c>
    </row>
    <row r="3" spans="1:31">
      <c r="A3" s="1" t="str">
        <f>+[1]Trading!A3</f>
        <v>Hyderabad - 500029</v>
      </c>
      <c r="L3" s="7"/>
    </row>
    <row r="4" spans="1:31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31" s="21" customFormat="1">
      <c r="A5" s="9" t="s">
        <v>1</v>
      </c>
      <c r="B5" s="10" t="s">
        <v>2</v>
      </c>
      <c r="C5" s="10"/>
      <c r="D5" s="10" t="s">
        <v>3</v>
      </c>
      <c r="E5" s="10"/>
      <c r="F5" s="11" t="s">
        <v>4</v>
      </c>
      <c r="G5" s="12"/>
      <c r="H5" s="11" t="s">
        <v>5</v>
      </c>
      <c r="I5" s="12"/>
      <c r="J5" s="11" t="s">
        <v>6</v>
      </c>
      <c r="K5" s="12"/>
      <c r="L5" s="10" t="s">
        <v>7</v>
      </c>
      <c r="M5" s="10"/>
      <c r="N5" s="13" t="s">
        <v>8</v>
      </c>
      <c r="O5" s="11" t="s">
        <v>9</v>
      </c>
      <c r="P5" s="12"/>
      <c r="Q5" s="11" t="s">
        <v>10</v>
      </c>
      <c r="R5" s="12"/>
      <c r="S5" s="14" t="s">
        <v>11</v>
      </c>
      <c r="T5" s="15"/>
      <c r="U5" s="16" t="s">
        <v>12</v>
      </c>
      <c r="V5" s="17"/>
      <c r="W5" s="10" t="s">
        <v>13</v>
      </c>
      <c r="X5" s="10"/>
      <c r="Y5" s="18" t="s">
        <v>14</v>
      </c>
      <c r="Z5" s="19"/>
      <c r="AA5" s="20" t="s">
        <v>15</v>
      </c>
      <c r="AB5" s="20" t="s">
        <v>16</v>
      </c>
    </row>
    <row r="6" spans="1:31" s="21" customFormat="1" ht="31.2" customHeight="1">
      <c r="A6" s="22">
        <v>1</v>
      </c>
      <c r="B6" s="23" t="s">
        <v>17</v>
      </c>
      <c r="C6" s="24" t="s">
        <v>18</v>
      </c>
      <c r="D6" s="23" t="s">
        <v>19</v>
      </c>
      <c r="E6" s="24" t="s">
        <v>20</v>
      </c>
      <c r="F6" s="23" t="s">
        <v>21</v>
      </c>
      <c r="G6" s="24" t="s">
        <v>22</v>
      </c>
      <c r="H6" s="23" t="s">
        <v>21</v>
      </c>
      <c r="I6" s="24" t="s">
        <v>22</v>
      </c>
      <c r="J6" s="23" t="s">
        <v>23</v>
      </c>
      <c r="K6" s="24" t="s">
        <v>24</v>
      </c>
      <c r="L6" s="25" t="s">
        <v>25</v>
      </c>
      <c r="M6" s="24" t="s">
        <v>26</v>
      </c>
      <c r="N6" s="13" t="s">
        <v>27</v>
      </c>
      <c r="O6" s="23" t="s">
        <v>21</v>
      </c>
      <c r="P6" s="24" t="s">
        <v>22</v>
      </c>
      <c r="Q6" s="23" t="s">
        <v>21</v>
      </c>
      <c r="R6" s="24" t="s">
        <v>22</v>
      </c>
      <c r="S6" s="23" t="s">
        <v>28</v>
      </c>
      <c r="T6" s="24" t="s">
        <v>29</v>
      </c>
      <c r="U6" s="23" t="s">
        <v>30</v>
      </c>
      <c r="V6" s="24" t="s">
        <v>31</v>
      </c>
      <c r="W6" s="23" t="s">
        <v>32</v>
      </c>
      <c r="X6" s="24" t="s">
        <v>33</v>
      </c>
      <c r="Y6" s="24" t="s">
        <v>34</v>
      </c>
      <c r="Z6" s="26" t="s">
        <v>35</v>
      </c>
      <c r="AA6" s="27"/>
      <c r="AB6" s="27"/>
    </row>
    <row r="7" spans="1:31">
      <c r="A7" s="28" t="s">
        <v>36</v>
      </c>
      <c r="L7" s="29"/>
    </row>
    <row r="8" spans="1:31" ht="15" customHeight="1">
      <c r="A8" s="1" t="s">
        <v>37</v>
      </c>
      <c r="B8" s="30">
        <f>258.75+4.28</f>
        <v>263.02999999999997</v>
      </c>
      <c r="C8" s="6">
        <f>341294.342229656+5813.49586552016</f>
        <v>347107.83809517615</v>
      </c>
      <c r="D8" s="30">
        <v>0</v>
      </c>
      <c r="E8" s="6">
        <v>0</v>
      </c>
      <c r="F8" s="31">
        <v>0</v>
      </c>
      <c r="G8" s="6">
        <v>0</v>
      </c>
      <c r="H8" s="31">
        <v>0</v>
      </c>
      <c r="I8" s="6">
        <v>0</v>
      </c>
      <c r="J8" s="30">
        <f>+F8+H8</f>
        <v>0</v>
      </c>
      <c r="K8" s="6">
        <f>+G8+I8</f>
        <v>0</v>
      </c>
      <c r="L8" s="32">
        <f>B8+D8+J8</f>
        <v>263.02999999999997</v>
      </c>
      <c r="M8" s="6">
        <f>C8+E8+K8</f>
        <v>347107.83809517615</v>
      </c>
      <c r="N8" s="33">
        <f>M8/L8</f>
        <v>1319.6511352133832</v>
      </c>
      <c r="O8" s="30">
        <v>0</v>
      </c>
      <c r="P8" s="33">
        <f>+N8*O8</f>
        <v>0</v>
      </c>
      <c r="Q8" s="30">
        <v>0</v>
      </c>
      <c r="R8" s="34">
        <f>+N8*Q8</f>
        <v>0</v>
      </c>
      <c r="S8" s="35">
        <f>+O8+Q8</f>
        <v>0</v>
      </c>
      <c r="T8" s="36">
        <f>+P8+R8</f>
        <v>0</v>
      </c>
      <c r="U8" s="2">
        <v>85.169999999999987</v>
      </c>
      <c r="V8" s="37">
        <v>387380</v>
      </c>
      <c r="W8" s="30">
        <f>L8-U8-S8</f>
        <v>177.85999999999999</v>
      </c>
      <c r="X8" s="6">
        <f>W8*N8</f>
        <v>234713.15090905232</v>
      </c>
      <c r="Y8" s="4">
        <f>+X8+V8+T8-M8</f>
        <v>274985.3128138762</v>
      </c>
      <c r="Z8" s="5">
        <f>IF(Y8&gt;0,(Y8/V8),0)</f>
        <v>0.70985934434889819</v>
      </c>
      <c r="AA8" s="5">
        <v>0.7164207031875427</v>
      </c>
      <c r="AB8" s="5">
        <f t="shared" ref="AB8" si="0">Z8-AA8</f>
        <v>-6.5613588386445043E-3</v>
      </c>
    </row>
    <row r="9" spans="1:31">
      <c r="B9" s="30"/>
      <c r="C9" s="6"/>
      <c r="D9" s="30"/>
      <c r="E9" s="6"/>
      <c r="F9" s="6"/>
      <c r="G9" s="6"/>
      <c r="H9" s="6"/>
      <c r="I9" s="6"/>
      <c r="J9" s="30"/>
      <c r="K9" s="6"/>
      <c r="L9" s="32"/>
      <c r="M9" s="6"/>
      <c r="N9" s="33"/>
      <c r="O9" s="30"/>
      <c r="P9" s="33"/>
      <c r="Q9" s="30"/>
      <c r="R9" s="33"/>
      <c r="S9" s="35"/>
      <c r="T9" s="37"/>
      <c r="V9" s="37"/>
      <c r="W9" s="30"/>
      <c r="X9" s="6"/>
    </row>
    <row r="10" spans="1:31" ht="14.4" thickBot="1">
      <c r="A10" s="1" t="s">
        <v>38</v>
      </c>
      <c r="B10" s="38">
        <f>SUM(B8:B9)</f>
        <v>263.02999999999997</v>
      </c>
      <c r="C10" s="39">
        <f>SUM(C8:C9)</f>
        <v>347107.83809517615</v>
      </c>
      <c r="D10" s="38">
        <f>SUM(D8:D9)</f>
        <v>0</v>
      </c>
      <c r="E10" s="39">
        <f>SUM(E8:E9)</f>
        <v>0</v>
      </c>
      <c r="F10" s="38">
        <f>SUM(F8:F8)</f>
        <v>0</v>
      </c>
      <c r="G10" s="39">
        <f>SUM(G8:G8)</f>
        <v>0</v>
      </c>
      <c r="H10" s="38">
        <f t="shared" ref="H10:M10" si="1">SUM(H8:H9)</f>
        <v>0</v>
      </c>
      <c r="I10" s="39">
        <f t="shared" si="1"/>
        <v>0</v>
      </c>
      <c r="J10" s="38">
        <f t="shared" si="1"/>
        <v>0</v>
      </c>
      <c r="K10" s="39">
        <f t="shared" si="1"/>
        <v>0</v>
      </c>
      <c r="L10" s="38">
        <f t="shared" si="1"/>
        <v>263.02999999999997</v>
      </c>
      <c r="M10" s="39">
        <f t="shared" si="1"/>
        <v>347107.83809517615</v>
      </c>
      <c r="N10" s="40"/>
      <c r="O10" s="38">
        <f t="shared" ref="O10:Y10" si="2">SUM(O8:O9)</f>
        <v>0</v>
      </c>
      <c r="P10" s="39">
        <f t="shared" si="2"/>
        <v>0</v>
      </c>
      <c r="Q10" s="38">
        <f t="shared" si="2"/>
        <v>0</v>
      </c>
      <c r="R10" s="39">
        <f t="shared" si="2"/>
        <v>0</v>
      </c>
      <c r="S10" s="38">
        <f t="shared" si="2"/>
        <v>0</v>
      </c>
      <c r="T10" s="39">
        <f t="shared" si="2"/>
        <v>0</v>
      </c>
      <c r="U10" s="38">
        <f t="shared" si="2"/>
        <v>85.169999999999987</v>
      </c>
      <c r="V10" s="39">
        <f t="shared" si="2"/>
        <v>387380</v>
      </c>
      <c r="W10" s="38">
        <f t="shared" si="2"/>
        <v>177.85999999999999</v>
      </c>
      <c r="X10" s="39">
        <f>SUM(X8:X9)</f>
        <v>234713.15090905232</v>
      </c>
      <c r="Y10" s="41">
        <f t="shared" si="2"/>
        <v>274985.3128138762</v>
      </c>
      <c r="Z10" s="42">
        <f>IF(Y10&gt;0,(Y10/V10),0)</f>
        <v>0.70985934434889819</v>
      </c>
      <c r="AA10" s="42">
        <v>0.60871558883832499</v>
      </c>
      <c r="AB10" s="42">
        <f>Z10-AA10</f>
        <v>0.1011437555105732</v>
      </c>
    </row>
    <row r="11" spans="1:31" ht="14.4" thickTop="1">
      <c r="C11" s="37"/>
      <c r="E11" s="37"/>
      <c r="F11" s="37"/>
      <c r="G11" s="37"/>
      <c r="H11" s="37"/>
      <c r="I11" s="37"/>
      <c r="J11" s="35"/>
      <c r="K11" s="37"/>
      <c r="L11" s="29"/>
      <c r="M11" s="43"/>
      <c r="N11" s="40"/>
      <c r="O11" s="44"/>
      <c r="P11" s="40"/>
      <c r="Q11" s="44"/>
      <c r="R11" s="40"/>
      <c r="S11" s="44"/>
      <c r="T11" s="43"/>
      <c r="V11" s="43"/>
      <c r="W11" s="30"/>
      <c r="X11" s="34"/>
    </row>
    <row r="12" spans="1:31">
      <c r="A12" s="28" t="s">
        <v>39</v>
      </c>
      <c r="B12" s="45"/>
      <c r="C12" s="46"/>
      <c r="M12" s="47"/>
      <c r="N12" s="48"/>
      <c r="O12" s="49"/>
      <c r="P12" s="48"/>
      <c r="Q12" s="49"/>
      <c r="R12" s="48"/>
      <c r="S12" s="49"/>
      <c r="T12" s="34"/>
      <c r="U12" s="30"/>
      <c r="V12" s="34"/>
      <c r="W12" s="30"/>
      <c r="X12" s="34"/>
      <c r="AD12" s="50"/>
      <c r="AE12" s="51"/>
    </row>
    <row r="13" spans="1:31">
      <c r="A13" s="51" t="s">
        <v>40</v>
      </c>
      <c r="B13" s="30">
        <v>29.08</v>
      </c>
      <c r="C13" s="6">
        <v>407789.4609491101</v>
      </c>
      <c r="D13" s="30">
        <v>0</v>
      </c>
      <c r="E13" s="6">
        <v>0</v>
      </c>
      <c r="F13" s="6">
        <v>0</v>
      </c>
      <c r="G13" s="6">
        <v>0</v>
      </c>
      <c r="H13" s="31">
        <v>51.839999999999989</v>
      </c>
      <c r="I13" s="6">
        <v>776224.39540386398</v>
      </c>
      <c r="J13" s="30">
        <f t="shared" ref="J13:K24" si="3">+F13+H13</f>
        <v>51.839999999999989</v>
      </c>
      <c r="K13" s="6">
        <f t="shared" si="3"/>
        <v>776224.39540386398</v>
      </c>
      <c r="L13" s="32">
        <f t="shared" ref="L13:M24" si="4">B13+D13+J13</f>
        <v>80.919999999999987</v>
      </c>
      <c r="M13" s="6">
        <f t="shared" si="4"/>
        <v>1184013.8563529742</v>
      </c>
      <c r="N13" s="33">
        <f t="shared" ref="N13:N24" si="5">M13/L13</f>
        <v>14631.906282167256</v>
      </c>
      <c r="O13" s="30">
        <v>0</v>
      </c>
      <c r="P13" s="33">
        <f t="shared" ref="P13:P24" si="6">+N13*O13</f>
        <v>0</v>
      </c>
      <c r="Q13" s="30">
        <v>0</v>
      </c>
      <c r="R13" s="34">
        <f t="shared" ref="R13:R24" si="7">+N13*Q13</f>
        <v>0</v>
      </c>
      <c r="S13" s="35">
        <f t="shared" ref="S13:T24" si="8">+O13+Q13</f>
        <v>0</v>
      </c>
      <c r="T13" s="36">
        <f t="shared" si="8"/>
        <v>0</v>
      </c>
      <c r="U13" s="2">
        <v>70.23</v>
      </c>
      <c r="V13" s="37">
        <v>1092525</v>
      </c>
      <c r="W13" s="30">
        <f t="shared" ref="W13:W24" si="9">L13-U13-S13</f>
        <v>10.689999999999984</v>
      </c>
      <c r="X13" s="6">
        <f t="shared" ref="X13:X24" si="10">W13*N13</f>
        <v>156415.07815636773</v>
      </c>
      <c r="Y13" s="4">
        <f t="shared" ref="Y13:Y24" si="11">+X13+V13+T13-M13</f>
        <v>64926.221803393448</v>
      </c>
      <c r="Z13" s="5">
        <f t="shared" ref="Z13:Z24" si="12">IF(Y13&gt;0,(Y13/V13),0)</f>
        <v>5.9427676074591838E-2</v>
      </c>
      <c r="AA13" s="5">
        <v>7.4905769237787667E-3</v>
      </c>
      <c r="AB13" s="5">
        <f>Z13-AA13</f>
        <v>5.1937099150813071E-2</v>
      </c>
      <c r="AD13" s="50"/>
      <c r="AE13" s="51"/>
    </row>
    <row r="14" spans="1:31">
      <c r="A14" s="51" t="s">
        <v>41</v>
      </c>
      <c r="B14" s="30">
        <v>6.28000000000001</v>
      </c>
      <c r="C14" s="6">
        <v>116180.00000000019</v>
      </c>
      <c r="D14" s="30">
        <v>0</v>
      </c>
      <c r="E14" s="6">
        <v>0</v>
      </c>
      <c r="F14" s="6">
        <v>0</v>
      </c>
      <c r="G14" s="6">
        <v>0</v>
      </c>
      <c r="H14" s="31">
        <v>24.939999999999998</v>
      </c>
      <c r="I14" s="6">
        <v>427508.16762458754</v>
      </c>
      <c r="J14" s="30">
        <f t="shared" si="3"/>
        <v>24.939999999999998</v>
      </c>
      <c r="K14" s="6">
        <f t="shared" si="3"/>
        <v>427508.16762458754</v>
      </c>
      <c r="L14" s="32">
        <f t="shared" si="4"/>
        <v>31.220000000000006</v>
      </c>
      <c r="M14" s="6">
        <f t="shared" si="4"/>
        <v>543688.16762458778</v>
      </c>
      <c r="N14" s="33">
        <f t="shared" si="5"/>
        <v>17414.739513920169</v>
      </c>
      <c r="O14" s="30">
        <v>0</v>
      </c>
      <c r="P14" s="33">
        <f t="shared" si="6"/>
        <v>0</v>
      </c>
      <c r="Q14" s="30">
        <v>0</v>
      </c>
      <c r="R14" s="34">
        <f t="shared" si="7"/>
        <v>0</v>
      </c>
      <c r="S14" s="35">
        <f t="shared" si="8"/>
        <v>0</v>
      </c>
      <c r="T14" s="36">
        <f t="shared" si="8"/>
        <v>0</v>
      </c>
      <c r="U14" s="2">
        <v>0</v>
      </c>
      <c r="V14" s="37">
        <v>0</v>
      </c>
      <c r="W14" s="30">
        <f t="shared" si="9"/>
        <v>31.220000000000006</v>
      </c>
      <c r="X14" s="6">
        <f t="shared" si="10"/>
        <v>543688.16762458778</v>
      </c>
      <c r="Y14" s="4">
        <f t="shared" si="11"/>
        <v>0</v>
      </c>
      <c r="Z14" s="5">
        <f t="shared" si="12"/>
        <v>0</v>
      </c>
      <c r="AA14" s="5">
        <v>0</v>
      </c>
      <c r="AB14" s="5">
        <f t="shared" ref="AB14:AB24" si="13">Z14-AA14</f>
        <v>0</v>
      </c>
      <c r="AE14" s="51"/>
    </row>
    <row r="15" spans="1:31">
      <c r="A15" s="51" t="s">
        <v>42</v>
      </c>
      <c r="B15" s="30">
        <v>25.560000000000002</v>
      </c>
      <c r="C15" s="6">
        <v>639000</v>
      </c>
      <c r="D15" s="30">
        <v>0</v>
      </c>
      <c r="E15" s="6">
        <v>0</v>
      </c>
      <c r="F15" s="6">
        <v>0</v>
      </c>
      <c r="G15" s="6">
        <v>0</v>
      </c>
      <c r="H15" s="31">
        <v>0</v>
      </c>
      <c r="I15" s="6">
        <v>0</v>
      </c>
      <c r="J15" s="30">
        <f t="shared" si="3"/>
        <v>0</v>
      </c>
      <c r="K15" s="6">
        <f t="shared" si="3"/>
        <v>0</v>
      </c>
      <c r="L15" s="32">
        <f t="shared" si="4"/>
        <v>25.560000000000002</v>
      </c>
      <c r="M15" s="6">
        <f t="shared" si="4"/>
        <v>639000</v>
      </c>
      <c r="N15" s="33">
        <f t="shared" si="5"/>
        <v>24999.999999999996</v>
      </c>
      <c r="O15" s="30">
        <v>0</v>
      </c>
      <c r="P15" s="33">
        <f t="shared" si="6"/>
        <v>0</v>
      </c>
      <c r="Q15" s="30">
        <v>1.0199999999999996</v>
      </c>
      <c r="R15" s="34">
        <f t="shared" si="7"/>
        <v>25499.999999999985</v>
      </c>
      <c r="S15" s="35">
        <f t="shared" si="8"/>
        <v>1.0199999999999996</v>
      </c>
      <c r="T15" s="36">
        <f t="shared" si="8"/>
        <v>25499.999999999985</v>
      </c>
      <c r="U15" s="2">
        <v>0</v>
      </c>
      <c r="V15" s="37">
        <v>0</v>
      </c>
      <c r="W15" s="30">
        <f t="shared" si="9"/>
        <v>24.540000000000003</v>
      </c>
      <c r="X15" s="6">
        <f t="shared" si="10"/>
        <v>613500</v>
      </c>
      <c r="Y15" s="4">
        <f t="shared" si="11"/>
        <v>0</v>
      </c>
      <c r="Z15" s="5">
        <f t="shared" si="12"/>
        <v>0</v>
      </c>
      <c r="AA15" s="5">
        <v>0</v>
      </c>
      <c r="AB15" s="5">
        <f t="shared" si="13"/>
        <v>0</v>
      </c>
    </row>
    <row r="16" spans="1:31">
      <c r="A16" s="51" t="s">
        <v>43</v>
      </c>
      <c r="B16" s="30">
        <v>9.4600000000000009</v>
      </c>
      <c r="C16" s="6">
        <v>295625.09762641898</v>
      </c>
      <c r="D16" s="30">
        <v>0</v>
      </c>
      <c r="E16" s="6">
        <v>0</v>
      </c>
      <c r="F16" s="6">
        <v>0</v>
      </c>
      <c r="G16" s="6">
        <v>0</v>
      </c>
      <c r="H16" s="31">
        <v>11.319999999999999</v>
      </c>
      <c r="I16" s="6">
        <v>338838.35592826409</v>
      </c>
      <c r="J16" s="30">
        <f t="shared" si="3"/>
        <v>11.319999999999999</v>
      </c>
      <c r="K16" s="6">
        <f t="shared" si="3"/>
        <v>338838.35592826409</v>
      </c>
      <c r="L16" s="32">
        <f t="shared" si="4"/>
        <v>20.78</v>
      </c>
      <c r="M16" s="6">
        <f t="shared" si="4"/>
        <v>634463.45355468313</v>
      </c>
      <c r="N16" s="33">
        <f t="shared" si="5"/>
        <v>30532.408736991489</v>
      </c>
      <c r="O16" s="30">
        <v>0</v>
      </c>
      <c r="P16" s="33">
        <f t="shared" si="6"/>
        <v>0</v>
      </c>
      <c r="Q16" s="30">
        <v>0</v>
      </c>
      <c r="R16" s="34">
        <f>+N16*Q16</f>
        <v>0</v>
      </c>
      <c r="S16" s="35">
        <f t="shared" si="8"/>
        <v>0</v>
      </c>
      <c r="T16" s="36">
        <f t="shared" si="8"/>
        <v>0</v>
      </c>
      <c r="U16" s="2">
        <v>2.8699999999999997</v>
      </c>
      <c r="V16" s="37">
        <v>84255</v>
      </c>
      <c r="W16" s="30">
        <f t="shared" si="9"/>
        <v>17.91</v>
      </c>
      <c r="X16" s="6">
        <f t="shared" si="10"/>
        <v>546835.44047951757</v>
      </c>
      <c r="Y16" s="4">
        <f t="shared" si="11"/>
        <v>-3373.013075165567</v>
      </c>
      <c r="Z16" s="5">
        <f t="shared" si="12"/>
        <v>0</v>
      </c>
      <c r="AA16" s="5">
        <v>0</v>
      </c>
      <c r="AB16" s="5">
        <f t="shared" si="13"/>
        <v>0</v>
      </c>
    </row>
    <row r="17" spans="1:31">
      <c r="A17" s="51" t="s">
        <v>44</v>
      </c>
      <c r="B17" s="30">
        <v>14.530000000000001</v>
      </c>
      <c r="C17" s="6">
        <v>490953.67266277695</v>
      </c>
      <c r="D17" s="30">
        <v>0</v>
      </c>
      <c r="E17" s="6">
        <v>0</v>
      </c>
      <c r="F17" s="6">
        <v>0</v>
      </c>
      <c r="G17" s="6">
        <v>0</v>
      </c>
      <c r="H17" s="31">
        <v>0</v>
      </c>
      <c r="I17" s="6">
        <v>0</v>
      </c>
      <c r="J17" s="30">
        <f t="shared" si="3"/>
        <v>0</v>
      </c>
      <c r="K17" s="6">
        <f t="shared" si="3"/>
        <v>0</v>
      </c>
      <c r="L17" s="32">
        <f t="shared" si="4"/>
        <v>14.530000000000001</v>
      </c>
      <c r="M17" s="6">
        <f t="shared" si="4"/>
        <v>490953.67266277695</v>
      </c>
      <c r="N17" s="33">
        <f t="shared" si="5"/>
        <v>33788.965771698342</v>
      </c>
      <c r="O17" s="30">
        <v>0</v>
      </c>
      <c r="P17" s="33">
        <f t="shared" si="6"/>
        <v>0</v>
      </c>
      <c r="Q17" s="30">
        <v>0</v>
      </c>
      <c r="R17" s="34">
        <f t="shared" si="7"/>
        <v>0</v>
      </c>
      <c r="S17" s="35">
        <f t="shared" si="8"/>
        <v>0</v>
      </c>
      <c r="T17" s="36">
        <f t="shared" si="8"/>
        <v>0</v>
      </c>
      <c r="U17" s="2">
        <v>0</v>
      </c>
      <c r="V17" s="37">
        <v>0</v>
      </c>
      <c r="W17" s="30">
        <f t="shared" si="9"/>
        <v>14.530000000000001</v>
      </c>
      <c r="X17" s="6">
        <f t="shared" si="10"/>
        <v>490953.67266277695</v>
      </c>
      <c r="Y17" s="4">
        <f t="shared" si="11"/>
        <v>0</v>
      </c>
      <c r="Z17" s="5">
        <f t="shared" si="12"/>
        <v>0</v>
      </c>
      <c r="AA17" s="5">
        <v>0</v>
      </c>
      <c r="AB17" s="5">
        <f t="shared" si="13"/>
        <v>0</v>
      </c>
      <c r="AC17" s="52"/>
      <c r="AD17" s="53"/>
      <c r="AE17" s="52"/>
    </row>
    <row r="18" spans="1:31">
      <c r="A18" s="51" t="s">
        <v>45</v>
      </c>
      <c r="B18" s="30">
        <v>13.35</v>
      </c>
      <c r="C18" s="6">
        <v>500564.46558216226</v>
      </c>
      <c r="D18" s="30">
        <v>0</v>
      </c>
      <c r="E18" s="6">
        <v>0</v>
      </c>
      <c r="F18" s="6">
        <v>0</v>
      </c>
      <c r="G18" s="6">
        <v>0</v>
      </c>
      <c r="H18" s="31">
        <v>0.70000000000000107</v>
      </c>
      <c r="I18" s="6">
        <v>26260.079904424918</v>
      </c>
      <c r="J18" s="30">
        <f t="shared" si="3"/>
        <v>0.70000000000000107</v>
      </c>
      <c r="K18" s="6">
        <f t="shared" si="3"/>
        <v>26260.079904424918</v>
      </c>
      <c r="L18" s="32">
        <f t="shared" si="4"/>
        <v>14.05</v>
      </c>
      <c r="M18" s="6">
        <f t="shared" si="4"/>
        <v>526824.54548658722</v>
      </c>
      <c r="N18" s="33">
        <f t="shared" si="5"/>
        <v>37496.408931429694</v>
      </c>
      <c r="O18" s="30">
        <v>0</v>
      </c>
      <c r="P18" s="33">
        <f t="shared" si="6"/>
        <v>0</v>
      </c>
      <c r="Q18" s="30">
        <v>0</v>
      </c>
      <c r="R18" s="34">
        <f t="shared" si="7"/>
        <v>0</v>
      </c>
      <c r="S18" s="35">
        <f t="shared" si="8"/>
        <v>0</v>
      </c>
      <c r="T18" s="36">
        <f t="shared" si="8"/>
        <v>0</v>
      </c>
      <c r="U18" s="2">
        <v>0</v>
      </c>
      <c r="V18" s="37">
        <v>0</v>
      </c>
      <c r="W18" s="30">
        <f t="shared" si="9"/>
        <v>14.05</v>
      </c>
      <c r="X18" s="6">
        <f t="shared" si="10"/>
        <v>526824.54548658722</v>
      </c>
      <c r="Y18" s="4">
        <f t="shared" si="11"/>
        <v>0</v>
      </c>
      <c r="Z18" s="5">
        <f t="shared" si="12"/>
        <v>0</v>
      </c>
      <c r="AA18" s="5">
        <v>0</v>
      </c>
      <c r="AB18" s="5">
        <f t="shared" si="13"/>
        <v>0</v>
      </c>
    </row>
    <row r="19" spans="1:31">
      <c r="A19" s="51" t="s">
        <v>46</v>
      </c>
      <c r="B19" s="30">
        <v>2.5099999999999998</v>
      </c>
      <c r="C19" s="6">
        <v>105071.83237349005</v>
      </c>
      <c r="D19" s="30">
        <v>0</v>
      </c>
      <c r="E19" s="6">
        <v>0</v>
      </c>
      <c r="F19" s="6">
        <v>0</v>
      </c>
      <c r="G19" s="6">
        <v>0</v>
      </c>
      <c r="H19" s="31">
        <v>10.56</v>
      </c>
      <c r="I19" s="6">
        <v>442056.29316780064</v>
      </c>
      <c r="J19" s="30">
        <f t="shared" si="3"/>
        <v>10.56</v>
      </c>
      <c r="K19" s="6">
        <f t="shared" si="3"/>
        <v>442056.29316780064</v>
      </c>
      <c r="L19" s="32">
        <f t="shared" si="4"/>
        <v>13.07</v>
      </c>
      <c r="M19" s="6">
        <f t="shared" si="4"/>
        <v>547128.12554129073</v>
      </c>
      <c r="N19" s="33">
        <f t="shared" si="5"/>
        <v>41861.371502776645</v>
      </c>
      <c r="O19" s="30">
        <v>0</v>
      </c>
      <c r="P19" s="33">
        <f t="shared" si="6"/>
        <v>0</v>
      </c>
      <c r="Q19" s="30">
        <v>0</v>
      </c>
      <c r="R19" s="34">
        <f t="shared" si="7"/>
        <v>0</v>
      </c>
      <c r="S19" s="35">
        <f t="shared" si="8"/>
        <v>0</v>
      </c>
      <c r="T19" s="36">
        <f t="shared" si="8"/>
        <v>0</v>
      </c>
      <c r="U19" s="2">
        <v>0</v>
      </c>
      <c r="V19" s="37">
        <v>0</v>
      </c>
      <c r="W19" s="30">
        <f t="shared" si="9"/>
        <v>13.07</v>
      </c>
      <c r="X19" s="6">
        <f t="shared" si="10"/>
        <v>547128.12554129073</v>
      </c>
      <c r="Y19" s="4">
        <f t="shared" si="11"/>
        <v>0</v>
      </c>
      <c r="Z19" s="5">
        <f t="shared" si="12"/>
        <v>0</v>
      </c>
      <c r="AA19" s="5">
        <v>0</v>
      </c>
      <c r="AB19" s="5">
        <f t="shared" si="13"/>
        <v>0</v>
      </c>
      <c r="AE19" s="51"/>
    </row>
    <row r="20" spans="1:31">
      <c r="A20" s="51" t="s">
        <v>47</v>
      </c>
      <c r="B20" s="30">
        <v>6.06</v>
      </c>
      <c r="C20" s="6">
        <v>273129.38947250432</v>
      </c>
      <c r="D20" s="30">
        <v>0</v>
      </c>
      <c r="E20" s="6">
        <v>0</v>
      </c>
      <c r="F20" s="6">
        <v>0</v>
      </c>
      <c r="G20" s="6">
        <v>0</v>
      </c>
      <c r="H20" s="31">
        <v>2.2400000000000002</v>
      </c>
      <c r="I20" s="6">
        <v>100999.61312440014</v>
      </c>
      <c r="J20" s="30">
        <f t="shared" si="3"/>
        <v>2.2400000000000002</v>
      </c>
      <c r="K20" s="6">
        <f t="shared" si="3"/>
        <v>100999.61312440014</v>
      </c>
      <c r="L20" s="32">
        <f t="shared" si="4"/>
        <v>8.3000000000000007</v>
      </c>
      <c r="M20" s="6">
        <f t="shared" si="4"/>
        <v>374129.00259690447</v>
      </c>
      <c r="N20" s="33">
        <f t="shared" si="5"/>
        <v>45075.783445410176</v>
      </c>
      <c r="O20" s="30">
        <v>0</v>
      </c>
      <c r="P20" s="33">
        <f t="shared" si="6"/>
        <v>0</v>
      </c>
      <c r="Q20" s="30">
        <v>0</v>
      </c>
      <c r="R20" s="34">
        <f t="shared" si="7"/>
        <v>0</v>
      </c>
      <c r="S20" s="35">
        <f t="shared" si="8"/>
        <v>0</v>
      </c>
      <c r="T20" s="36">
        <f t="shared" si="8"/>
        <v>0</v>
      </c>
      <c r="U20" s="2">
        <v>0.35</v>
      </c>
      <c r="V20" s="37">
        <v>19250</v>
      </c>
      <c r="W20" s="30">
        <f t="shared" si="9"/>
        <v>7.9500000000000011</v>
      </c>
      <c r="X20" s="6">
        <f t="shared" si="10"/>
        <v>358352.47839101095</v>
      </c>
      <c r="Y20" s="4">
        <f t="shared" si="11"/>
        <v>3473.475794106489</v>
      </c>
      <c r="Z20" s="5">
        <f t="shared" si="12"/>
        <v>0.18044030099254488</v>
      </c>
      <c r="AA20" s="5">
        <v>0</v>
      </c>
      <c r="AB20" s="5">
        <f t="shared" si="13"/>
        <v>0.18044030099254488</v>
      </c>
    </row>
    <row r="21" spans="1:31">
      <c r="A21" s="51" t="s">
        <v>48</v>
      </c>
      <c r="B21" s="30">
        <v>4.0599999999999996</v>
      </c>
      <c r="C21" s="6">
        <v>217541.13347310736</v>
      </c>
      <c r="D21" s="30">
        <v>0</v>
      </c>
      <c r="E21" s="6">
        <v>0</v>
      </c>
      <c r="F21" s="6">
        <v>0</v>
      </c>
      <c r="G21" s="6">
        <v>0</v>
      </c>
      <c r="H21" s="31">
        <v>1.5</v>
      </c>
      <c r="I21" s="6">
        <v>80372.339953118499</v>
      </c>
      <c r="J21" s="30">
        <f t="shared" si="3"/>
        <v>1.5</v>
      </c>
      <c r="K21" s="6">
        <f t="shared" si="3"/>
        <v>80372.339953118499</v>
      </c>
      <c r="L21" s="32">
        <f t="shared" si="4"/>
        <v>5.56</v>
      </c>
      <c r="M21" s="6">
        <f t="shared" si="4"/>
        <v>297913.47342622583</v>
      </c>
      <c r="N21" s="33">
        <f t="shared" si="5"/>
        <v>53581.559968745656</v>
      </c>
      <c r="O21" s="30">
        <v>0</v>
      </c>
      <c r="P21" s="33">
        <f t="shared" si="6"/>
        <v>0</v>
      </c>
      <c r="Q21" s="30">
        <v>0</v>
      </c>
      <c r="R21" s="34">
        <f t="shared" si="7"/>
        <v>0</v>
      </c>
      <c r="S21" s="35">
        <f t="shared" si="8"/>
        <v>0</v>
      </c>
      <c r="T21" s="36">
        <f t="shared" si="8"/>
        <v>0</v>
      </c>
      <c r="U21" s="2">
        <v>0</v>
      </c>
      <c r="V21" s="37">
        <v>0</v>
      </c>
      <c r="W21" s="30">
        <f t="shared" si="9"/>
        <v>5.56</v>
      </c>
      <c r="X21" s="6">
        <f t="shared" si="10"/>
        <v>297913.47342622583</v>
      </c>
      <c r="Y21" s="4">
        <f t="shared" si="11"/>
        <v>0</v>
      </c>
      <c r="Z21" s="5">
        <f t="shared" si="12"/>
        <v>0</v>
      </c>
      <c r="AA21" s="5">
        <v>0</v>
      </c>
      <c r="AB21" s="5">
        <f t="shared" si="13"/>
        <v>0</v>
      </c>
    </row>
    <row r="22" spans="1:31">
      <c r="A22" s="51" t="s">
        <v>49</v>
      </c>
      <c r="B22" s="30">
        <v>0</v>
      </c>
      <c r="C22" s="6">
        <v>0</v>
      </c>
      <c r="D22" s="30">
        <v>0</v>
      </c>
      <c r="E22" s="6">
        <v>0</v>
      </c>
      <c r="F22" s="6">
        <v>0</v>
      </c>
      <c r="G22" s="6">
        <v>0</v>
      </c>
      <c r="H22" s="31">
        <v>1.01</v>
      </c>
      <c r="I22" s="6">
        <v>64964.192151119983</v>
      </c>
      <c r="J22" s="30">
        <f t="shared" si="3"/>
        <v>1.01</v>
      </c>
      <c r="K22" s="6">
        <f t="shared" si="3"/>
        <v>64964.192151119983</v>
      </c>
      <c r="L22" s="32">
        <f t="shared" si="4"/>
        <v>1.01</v>
      </c>
      <c r="M22" s="6">
        <f t="shared" si="4"/>
        <v>64964.192151119983</v>
      </c>
      <c r="N22" s="33">
        <f t="shared" si="5"/>
        <v>64320.982327841564</v>
      </c>
      <c r="O22" s="30">
        <v>0</v>
      </c>
      <c r="P22" s="33">
        <f t="shared" si="6"/>
        <v>0</v>
      </c>
      <c r="Q22" s="30">
        <v>0</v>
      </c>
      <c r="R22" s="34">
        <f t="shared" si="7"/>
        <v>0</v>
      </c>
      <c r="S22" s="35">
        <f t="shared" si="8"/>
        <v>0</v>
      </c>
      <c r="T22" s="36">
        <f t="shared" si="8"/>
        <v>0</v>
      </c>
      <c r="U22" s="2">
        <v>0</v>
      </c>
      <c r="V22" s="37">
        <v>0</v>
      </c>
      <c r="W22" s="30">
        <f t="shared" si="9"/>
        <v>1.01</v>
      </c>
      <c r="X22" s="6">
        <f t="shared" si="10"/>
        <v>64964.192151119983</v>
      </c>
      <c r="Y22" s="4">
        <f t="shared" si="11"/>
        <v>0</v>
      </c>
      <c r="Z22" s="5">
        <f t="shared" si="12"/>
        <v>0</v>
      </c>
      <c r="AA22" s="5">
        <v>0</v>
      </c>
      <c r="AB22" s="5">
        <f t="shared" si="13"/>
        <v>0</v>
      </c>
    </row>
    <row r="23" spans="1:31">
      <c r="A23" s="51" t="s">
        <v>50</v>
      </c>
      <c r="B23" s="30">
        <v>0</v>
      </c>
      <c r="C23" s="6">
        <v>0</v>
      </c>
      <c r="D23" s="30">
        <v>0</v>
      </c>
      <c r="E23" s="6">
        <v>0</v>
      </c>
      <c r="F23" s="6">
        <v>0</v>
      </c>
      <c r="G23" s="6">
        <v>0</v>
      </c>
      <c r="H23" s="31">
        <v>0.5</v>
      </c>
      <c r="I23" s="6">
        <v>34453.045597820135</v>
      </c>
      <c r="J23" s="30">
        <f t="shared" si="3"/>
        <v>0.5</v>
      </c>
      <c r="K23" s="6">
        <f t="shared" si="3"/>
        <v>34453.045597820135</v>
      </c>
      <c r="L23" s="32">
        <f t="shared" si="4"/>
        <v>0.5</v>
      </c>
      <c r="M23" s="6">
        <f t="shared" si="4"/>
        <v>34453.045597820135</v>
      </c>
      <c r="N23" s="33">
        <f t="shared" si="5"/>
        <v>68906.091195640271</v>
      </c>
      <c r="O23" s="30">
        <v>0</v>
      </c>
      <c r="P23" s="33">
        <f t="shared" si="6"/>
        <v>0</v>
      </c>
      <c r="Q23" s="30">
        <v>0</v>
      </c>
      <c r="R23" s="34">
        <f t="shared" si="7"/>
        <v>0</v>
      </c>
      <c r="S23" s="35">
        <f t="shared" si="8"/>
        <v>0</v>
      </c>
      <c r="T23" s="36">
        <f t="shared" si="8"/>
        <v>0</v>
      </c>
      <c r="U23" s="2">
        <v>0</v>
      </c>
      <c r="V23" s="37">
        <v>0</v>
      </c>
      <c r="W23" s="30">
        <f t="shared" si="9"/>
        <v>0.5</v>
      </c>
      <c r="X23" s="6">
        <f t="shared" si="10"/>
        <v>34453.045597820135</v>
      </c>
      <c r="Y23" s="4">
        <f t="shared" si="11"/>
        <v>0</v>
      </c>
      <c r="Z23" s="5">
        <f t="shared" si="12"/>
        <v>0</v>
      </c>
      <c r="AA23" s="5">
        <v>0</v>
      </c>
      <c r="AB23" s="5">
        <f t="shared" si="13"/>
        <v>0</v>
      </c>
    </row>
    <row r="24" spans="1:31">
      <c r="A24" s="51" t="s">
        <v>51</v>
      </c>
      <c r="B24" s="30">
        <v>0</v>
      </c>
      <c r="C24" s="6">
        <v>0</v>
      </c>
      <c r="D24" s="30">
        <v>0</v>
      </c>
      <c r="E24" s="6">
        <v>0</v>
      </c>
      <c r="F24" s="6">
        <v>0</v>
      </c>
      <c r="G24" s="6">
        <v>0</v>
      </c>
      <c r="H24" s="31">
        <v>1.2</v>
      </c>
      <c r="I24" s="6">
        <v>93292.063188106404</v>
      </c>
      <c r="J24" s="30">
        <f t="shared" si="3"/>
        <v>1.2</v>
      </c>
      <c r="K24" s="6">
        <f t="shared" si="3"/>
        <v>93292.063188106404</v>
      </c>
      <c r="L24" s="32">
        <f t="shared" si="4"/>
        <v>1.2</v>
      </c>
      <c r="M24" s="6">
        <f t="shared" si="4"/>
        <v>93292.063188106404</v>
      </c>
      <c r="N24" s="33">
        <f t="shared" si="5"/>
        <v>77743.385990088675</v>
      </c>
      <c r="O24" s="30">
        <v>0</v>
      </c>
      <c r="P24" s="33">
        <f t="shared" si="6"/>
        <v>0</v>
      </c>
      <c r="Q24" s="30">
        <v>0</v>
      </c>
      <c r="R24" s="34">
        <f t="shared" si="7"/>
        <v>0</v>
      </c>
      <c r="S24" s="35">
        <f t="shared" si="8"/>
        <v>0</v>
      </c>
      <c r="T24" s="36">
        <f t="shared" si="8"/>
        <v>0</v>
      </c>
      <c r="U24" s="2">
        <v>0</v>
      </c>
      <c r="V24" s="37">
        <v>0</v>
      </c>
      <c r="W24" s="30">
        <f t="shared" si="9"/>
        <v>1.2</v>
      </c>
      <c r="X24" s="6">
        <f t="shared" si="10"/>
        <v>93292.063188106404</v>
      </c>
      <c r="Y24" s="4">
        <f t="shared" si="11"/>
        <v>0</v>
      </c>
      <c r="Z24" s="5">
        <f t="shared" si="12"/>
        <v>0</v>
      </c>
      <c r="AA24" s="5">
        <v>0</v>
      </c>
      <c r="AB24" s="5">
        <f t="shared" si="13"/>
        <v>0</v>
      </c>
    </row>
    <row r="25" spans="1:31">
      <c r="A25" s="51"/>
      <c r="B25" s="30"/>
      <c r="C25" s="34"/>
      <c r="L25" s="32"/>
      <c r="M25" s="34"/>
      <c r="N25" s="48"/>
      <c r="O25" s="49"/>
      <c r="P25" s="48"/>
      <c r="Q25" s="49"/>
      <c r="R25" s="48"/>
      <c r="S25" s="49"/>
      <c r="T25" s="34"/>
      <c r="U25" s="30"/>
      <c r="V25" s="34"/>
      <c r="W25" s="30"/>
      <c r="X25" s="34"/>
      <c r="Z25" s="54"/>
      <c r="AA25" s="55"/>
      <c r="AB25" s="55"/>
      <c r="AC25" s="52"/>
      <c r="AD25" s="53"/>
      <c r="AE25" s="52"/>
    </row>
    <row r="26" spans="1:31" ht="14.4" thickBot="1">
      <c r="A26" s="1" t="s">
        <v>38</v>
      </c>
      <c r="B26" s="56">
        <f>SUM(B13:B25)</f>
        <v>110.89000000000001</v>
      </c>
      <c r="C26" s="57">
        <f>SUM(C13:C25)</f>
        <v>3045855.05213957</v>
      </c>
      <c r="D26" s="56">
        <f t="shared" ref="D26:M26" si="14">SUM(D13:D25)</f>
        <v>0</v>
      </c>
      <c r="E26" s="57">
        <f t="shared" si="14"/>
        <v>0</v>
      </c>
      <c r="F26" s="56">
        <f t="shared" si="14"/>
        <v>0</v>
      </c>
      <c r="G26" s="57">
        <f t="shared" si="14"/>
        <v>0</v>
      </c>
      <c r="H26" s="56">
        <f t="shared" si="14"/>
        <v>105.80999999999999</v>
      </c>
      <c r="I26" s="57">
        <f t="shared" si="14"/>
        <v>2384968.5460435064</v>
      </c>
      <c r="J26" s="56">
        <f t="shared" si="14"/>
        <v>105.80999999999999</v>
      </c>
      <c r="K26" s="57">
        <f t="shared" si="14"/>
        <v>2384968.5460435064</v>
      </c>
      <c r="L26" s="56">
        <f t="shared" si="14"/>
        <v>216.7</v>
      </c>
      <c r="M26" s="57">
        <f t="shared" si="14"/>
        <v>5430823.5981830768</v>
      </c>
      <c r="N26" s="49"/>
      <c r="O26" s="56">
        <f t="shared" ref="O26:W26" si="15">SUM(O13:O25)</f>
        <v>0</v>
      </c>
      <c r="P26" s="57">
        <f t="shared" si="15"/>
        <v>0</v>
      </c>
      <c r="Q26" s="56">
        <f t="shared" si="15"/>
        <v>1.0199999999999996</v>
      </c>
      <c r="R26" s="57">
        <f t="shared" si="15"/>
        <v>25499.999999999985</v>
      </c>
      <c r="S26" s="56">
        <f t="shared" si="15"/>
        <v>1.0199999999999996</v>
      </c>
      <c r="T26" s="57">
        <f t="shared" si="15"/>
        <v>25499.999999999985</v>
      </c>
      <c r="U26" s="56">
        <f t="shared" si="15"/>
        <v>73.45</v>
      </c>
      <c r="V26" s="57">
        <f t="shared" si="15"/>
        <v>1196030</v>
      </c>
      <c r="W26" s="56">
        <f t="shared" si="15"/>
        <v>142.22999999999996</v>
      </c>
      <c r="X26" s="57">
        <f>SUM(X13:X25)</f>
        <v>4274320.2827054104</v>
      </c>
      <c r="Y26" s="58">
        <f t="shared" ref="Y26" si="16">SUM(Y13:Y21)</f>
        <v>65026.68452233437</v>
      </c>
      <c r="Z26" s="42">
        <f>IF(Y26&gt;0,(Y26/V26),0)</f>
        <v>5.4368773795251263E-2</v>
      </c>
      <c r="AA26" s="42">
        <v>0</v>
      </c>
      <c r="AB26" s="42">
        <f t="shared" ref="AB26" si="17">Z26-AA26</f>
        <v>5.4368773795251263E-2</v>
      </c>
      <c r="AC26" s="52"/>
      <c r="AD26" s="53"/>
      <c r="AE26" s="52"/>
    </row>
    <row r="27" spans="1:31" ht="14.4" thickTop="1">
      <c r="B27" s="30"/>
      <c r="C27" s="34"/>
      <c r="D27" s="30"/>
      <c r="Z27" s="54"/>
      <c r="AA27" s="55"/>
      <c r="AB27" s="55"/>
      <c r="AC27" s="52"/>
      <c r="AD27" s="53"/>
      <c r="AE27" s="52"/>
    </row>
    <row r="28" spans="1:31">
      <c r="A28" s="28" t="s">
        <v>52</v>
      </c>
      <c r="B28" s="30"/>
      <c r="C28" s="34"/>
      <c r="D28" s="30"/>
      <c r="L28" s="29"/>
      <c r="AA28" s="55"/>
      <c r="AB28" s="55"/>
      <c r="AC28" s="52"/>
      <c r="AD28" s="53"/>
      <c r="AE28" s="52"/>
    </row>
    <row r="29" spans="1:31">
      <c r="A29" s="1" t="s">
        <v>53</v>
      </c>
      <c r="B29" s="30">
        <f>173.69+3.57</f>
        <v>177.26</v>
      </c>
      <c r="C29" s="6">
        <f>166412.572206991+4462.5</f>
        <v>170875.072206991</v>
      </c>
      <c r="D29" s="30">
        <v>0</v>
      </c>
      <c r="E29" s="34">
        <v>0</v>
      </c>
      <c r="F29" s="34">
        <v>0</v>
      </c>
      <c r="G29" s="34">
        <v>0</v>
      </c>
      <c r="H29" s="31">
        <v>0</v>
      </c>
      <c r="I29" s="6">
        <v>0</v>
      </c>
      <c r="J29" s="30">
        <f t="shared" ref="J29:K30" si="18">+F29+H29</f>
        <v>0</v>
      </c>
      <c r="K29" s="6">
        <f t="shared" si="18"/>
        <v>0</v>
      </c>
      <c r="L29" s="32">
        <f t="shared" ref="L29:M30" si="19">B29+D29+J29</f>
        <v>177.26</v>
      </c>
      <c r="M29" s="6">
        <f t="shared" si="19"/>
        <v>170875.072206991</v>
      </c>
      <c r="N29" s="33">
        <f t="shared" ref="N29:N30" si="20">M29/L29</f>
        <v>963.97987254310624</v>
      </c>
      <c r="O29" s="30">
        <v>0</v>
      </c>
      <c r="P29" s="33">
        <f t="shared" ref="P29:P30" si="21">+N29*O29</f>
        <v>0</v>
      </c>
      <c r="Q29" s="30">
        <v>126.06</v>
      </c>
      <c r="R29" s="34">
        <f t="shared" ref="R29:R30" si="22">+N29*Q29</f>
        <v>121519.30273278398</v>
      </c>
      <c r="S29" s="35">
        <f t="shared" ref="S29:T30" si="23">+O29+Q29</f>
        <v>126.06</v>
      </c>
      <c r="T29" s="36">
        <f t="shared" si="23"/>
        <v>121519.30273278398</v>
      </c>
      <c r="U29" s="2">
        <v>4.4000000000000004</v>
      </c>
      <c r="V29" s="37">
        <v>13200</v>
      </c>
      <c r="W29" s="30">
        <f t="shared" ref="W29:W30" si="24">L29-U29-S29</f>
        <v>46.799999999999983</v>
      </c>
      <c r="X29" s="6">
        <f t="shared" ref="X29:X30" si="25">W29*N29</f>
        <v>45114.258035017352</v>
      </c>
      <c r="Y29" s="4">
        <f t="shared" ref="Y29:Y30" si="26">+X29+V29+T29-M29</f>
        <v>8958.4885608103359</v>
      </c>
      <c r="Z29" s="5">
        <f t="shared" ref="Z29:Z30" si="27">IF(Y29&gt;0,(Y29/V29),0)</f>
        <v>0.67867337581896481</v>
      </c>
      <c r="AA29" s="55">
        <v>4.669855318578104E-2</v>
      </c>
      <c r="AB29" s="5">
        <f t="shared" ref="AB29:AB30" si="28">Z29-AA29</f>
        <v>0.63197482263318372</v>
      </c>
      <c r="AC29" s="52"/>
      <c r="AD29" s="53"/>
      <c r="AE29" s="52"/>
    </row>
    <row r="30" spans="1:31">
      <c r="A30" s="1" t="s">
        <v>54</v>
      </c>
      <c r="B30" s="30">
        <f>11.3+0.37+245.68</f>
        <v>257.35000000000002</v>
      </c>
      <c r="C30" s="6">
        <f>28250+1156.22082018927+456964.649803604</f>
        <v>486370.87062379328</v>
      </c>
      <c r="D30" s="30">
        <v>0</v>
      </c>
      <c r="E30" s="34">
        <v>0</v>
      </c>
      <c r="F30" s="34">
        <v>0</v>
      </c>
      <c r="G30" s="34">
        <v>0</v>
      </c>
      <c r="H30" s="31">
        <v>0</v>
      </c>
      <c r="I30" s="6">
        <v>0</v>
      </c>
      <c r="J30" s="30">
        <f t="shared" si="18"/>
        <v>0</v>
      </c>
      <c r="K30" s="6">
        <f t="shared" si="18"/>
        <v>0</v>
      </c>
      <c r="L30" s="32">
        <f t="shared" si="19"/>
        <v>257.35000000000002</v>
      </c>
      <c r="M30" s="6">
        <f t="shared" si="19"/>
        <v>486370.87062379328</v>
      </c>
      <c r="N30" s="33">
        <f t="shared" si="20"/>
        <v>1889.9198392220449</v>
      </c>
      <c r="O30" s="30">
        <v>0</v>
      </c>
      <c r="P30" s="33">
        <f t="shared" si="21"/>
        <v>0</v>
      </c>
      <c r="Q30" s="30">
        <v>201.15</v>
      </c>
      <c r="R30" s="34">
        <f t="shared" si="22"/>
        <v>380157.37565951433</v>
      </c>
      <c r="S30" s="35">
        <f t="shared" si="23"/>
        <v>201.15</v>
      </c>
      <c r="T30" s="36">
        <f t="shared" si="23"/>
        <v>380157.37565951433</v>
      </c>
      <c r="U30" s="2">
        <v>0</v>
      </c>
      <c r="V30" s="37">
        <v>0</v>
      </c>
      <c r="W30" s="30">
        <f t="shared" si="24"/>
        <v>56.200000000000017</v>
      </c>
      <c r="X30" s="6">
        <f t="shared" si="25"/>
        <v>106213.49496427896</v>
      </c>
      <c r="Y30" s="4">
        <f t="shared" si="26"/>
        <v>0</v>
      </c>
      <c r="Z30" s="5">
        <f t="shared" si="27"/>
        <v>0</v>
      </c>
      <c r="AA30" s="55">
        <v>0.30391868002357103</v>
      </c>
      <c r="AB30" s="5">
        <f t="shared" si="28"/>
        <v>-0.30391868002357103</v>
      </c>
      <c r="AC30" s="52"/>
      <c r="AD30" s="53"/>
      <c r="AE30" s="52"/>
    </row>
    <row r="31" spans="1:31">
      <c r="B31" s="30"/>
      <c r="C31" s="34"/>
      <c r="D31" s="30"/>
      <c r="E31" s="34"/>
      <c r="F31" s="34"/>
      <c r="G31" s="34"/>
      <c r="H31" s="34"/>
      <c r="I31" s="34"/>
      <c r="J31" s="49"/>
      <c r="K31" s="34"/>
      <c r="L31" s="32"/>
      <c r="M31" s="34"/>
      <c r="N31" s="48"/>
      <c r="O31" s="49"/>
      <c r="P31" s="48"/>
      <c r="Q31" s="49"/>
      <c r="R31" s="48"/>
      <c r="S31" s="49"/>
      <c r="T31" s="34"/>
      <c r="U31" s="30"/>
      <c r="V31" s="34"/>
      <c r="X31" s="34"/>
      <c r="AA31" s="55"/>
      <c r="AB31" s="55"/>
      <c r="AC31" s="52"/>
      <c r="AD31" s="53"/>
      <c r="AE31" s="52"/>
    </row>
    <row r="32" spans="1:31" ht="14.4" thickBot="1">
      <c r="A32" s="1" t="s">
        <v>38</v>
      </c>
      <c r="B32" s="56">
        <f t="shared" ref="B32:M32" si="29">SUM(B29:B30)</f>
        <v>434.61</v>
      </c>
      <c r="C32" s="57">
        <f t="shared" si="29"/>
        <v>657245.94283078425</v>
      </c>
      <c r="D32" s="56">
        <f t="shared" si="29"/>
        <v>0</v>
      </c>
      <c r="E32" s="57">
        <f t="shared" si="29"/>
        <v>0</v>
      </c>
      <c r="F32" s="56">
        <f t="shared" si="29"/>
        <v>0</v>
      </c>
      <c r="G32" s="57">
        <f t="shared" si="29"/>
        <v>0</v>
      </c>
      <c r="H32" s="56">
        <f t="shared" si="29"/>
        <v>0</v>
      </c>
      <c r="I32" s="57">
        <f t="shared" si="29"/>
        <v>0</v>
      </c>
      <c r="J32" s="56">
        <f t="shared" si="29"/>
        <v>0</v>
      </c>
      <c r="K32" s="57">
        <f t="shared" si="29"/>
        <v>0</v>
      </c>
      <c r="L32" s="56">
        <f t="shared" si="29"/>
        <v>434.61</v>
      </c>
      <c r="M32" s="57">
        <f t="shared" si="29"/>
        <v>657245.94283078425</v>
      </c>
      <c r="N32" s="48"/>
      <c r="O32" s="56">
        <f t="shared" ref="O32:Y32" si="30">SUM(O29:O30)</f>
        <v>0</v>
      </c>
      <c r="P32" s="57">
        <f t="shared" si="30"/>
        <v>0</v>
      </c>
      <c r="Q32" s="56">
        <f t="shared" si="30"/>
        <v>327.21000000000004</v>
      </c>
      <c r="R32" s="57">
        <f t="shared" si="30"/>
        <v>501676.67839229829</v>
      </c>
      <c r="S32" s="56">
        <f t="shared" si="30"/>
        <v>327.21000000000004</v>
      </c>
      <c r="T32" s="57">
        <f t="shared" si="30"/>
        <v>501676.67839229829</v>
      </c>
      <c r="U32" s="56">
        <f t="shared" si="30"/>
        <v>4.4000000000000004</v>
      </c>
      <c r="V32" s="57">
        <f t="shared" si="30"/>
        <v>13200</v>
      </c>
      <c r="W32" s="56">
        <f t="shared" si="30"/>
        <v>103</v>
      </c>
      <c r="X32" s="57">
        <f>SUM(X29:X30)</f>
        <v>151327.7529992963</v>
      </c>
      <c r="Y32" s="58">
        <f t="shared" si="30"/>
        <v>8958.4885608103359</v>
      </c>
      <c r="Z32" s="42">
        <f>IF(Y32&gt;0,(Y32/V32),0)</f>
        <v>0.67867337581896481</v>
      </c>
      <c r="AA32" s="59">
        <v>0.27669002523042135</v>
      </c>
      <c r="AB32" s="42">
        <f t="shared" ref="AB32" si="31">Z32-AA32</f>
        <v>0.40198335058854345</v>
      </c>
      <c r="AC32" s="52"/>
      <c r="AD32" s="53"/>
      <c r="AE32" s="52"/>
    </row>
    <row r="33" spans="1:31" ht="14.4" thickTop="1">
      <c r="B33" s="49"/>
      <c r="C33" s="34"/>
      <c r="D33" s="49"/>
      <c r="E33" s="34"/>
      <c r="F33" s="34"/>
      <c r="G33" s="34"/>
      <c r="H33" s="34"/>
      <c r="I33" s="34"/>
      <c r="J33" s="49"/>
      <c r="K33" s="34"/>
      <c r="L33" s="32"/>
      <c r="M33" s="34"/>
      <c r="N33" s="48"/>
      <c r="O33" s="49"/>
      <c r="P33" s="48"/>
      <c r="Q33" s="49"/>
      <c r="R33" s="48"/>
      <c r="S33" s="49"/>
      <c r="T33" s="34"/>
      <c r="U33" s="49"/>
      <c r="V33" s="34"/>
      <c r="W33" s="49"/>
      <c r="X33" s="34"/>
      <c r="Y33" s="48"/>
      <c r="Z33" s="60"/>
      <c r="AA33" s="61"/>
      <c r="AB33" s="60"/>
      <c r="AC33" s="52"/>
      <c r="AD33" s="53"/>
      <c r="AE33" s="52"/>
    </row>
    <row r="34" spans="1:31">
      <c r="A34" s="28" t="s">
        <v>55</v>
      </c>
      <c r="B34" s="30"/>
      <c r="C34" s="34"/>
      <c r="D34" s="30"/>
      <c r="E34" s="34"/>
      <c r="F34" s="34"/>
      <c r="G34" s="34"/>
      <c r="H34" s="34"/>
      <c r="I34" s="34"/>
      <c r="J34" s="49"/>
      <c r="K34" s="34"/>
      <c r="L34" s="53"/>
      <c r="M34" s="34"/>
      <c r="N34" s="48"/>
      <c r="O34" s="49"/>
      <c r="P34" s="48"/>
      <c r="Q34" s="49"/>
      <c r="R34" s="48"/>
      <c r="S34" s="49"/>
      <c r="T34" s="34"/>
      <c r="U34" s="30"/>
      <c r="V34" s="34"/>
      <c r="W34" s="30"/>
      <c r="X34" s="34"/>
    </row>
    <row r="35" spans="1:31">
      <c r="A35" s="1" t="s">
        <v>56</v>
      </c>
      <c r="B35" s="30">
        <v>550.38000000000011</v>
      </c>
      <c r="C35" s="6">
        <v>3213031.943287611</v>
      </c>
      <c r="D35" s="30">
        <v>0</v>
      </c>
      <c r="E35" s="6">
        <v>0</v>
      </c>
      <c r="F35" s="6">
        <v>0</v>
      </c>
      <c r="G35" s="6">
        <v>0</v>
      </c>
      <c r="H35" s="31">
        <v>0</v>
      </c>
      <c r="I35" s="6">
        <v>0</v>
      </c>
      <c r="J35" s="30">
        <f t="shared" ref="J35:K48" si="32">+F35+H35</f>
        <v>0</v>
      </c>
      <c r="K35" s="6">
        <f t="shared" si="32"/>
        <v>0</v>
      </c>
      <c r="L35" s="32">
        <f t="shared" ref="L35:M48" si="33">B35+D35+J35</f>
        <v>550.38000000000011</v>
      </c>
      <c r="M35" s="6">
        <f t="shared" si="33"/>
        <v>3213031.943287611</v>
      </c>
      <c r="N35" s="33">
        <f t="shared" ref="N35:N48" si="34">M35/L35</f>
        <v>5837.8428418322073</v>
      </c>
      <c r="O35" s="30">
        <v>0</v>
      </c>
      <c r="P35" s="33">
        <f t="shared" ref="P35:P48" si="35">+N35*O35</f>
        <v>0</v>
      </c>
      <c r="Q35" s="30">
        <v>107.07999999999993</v>
      </c>
      <c r="R35" s="34">
        <f t="shared" ref="R35:R48" si="36">+N35*Q35</f>
        <v>625116.21150339232</v>
      </c>
      <c r="S35" s="35">
        <f t="shared" ref="S35:T48" si="37">+O35+Q35</f>
        <v>107.07999999999993</v>
      </c>
      <c r="T35" s="36">
        <f t="shared" si="37"/>
        <v>625116.21150339232</v>
      </c>
      <c r="U35" s="2">
        <v>134.13000000000005</v>
      </c>
      <c r="V35" s="37">
        <v>856434.75</v>
      </c>
      <c r="W35" s="30">
        <f t="shared" ref="W35:W48" si="38">L35-U35-S35</f>
        <v>309.17000000000013</v>
      </c>
      <c r="X35" s="6">
        <f t="shared" ref="X35:X48" si="39">W35*N35</f>
        <v>1804885.8714092644</v>
      </c>
      <c r="Y35" s="4">
        <f t="shared" ref="Y35:Y48" si="40">+X35+V35+T35-M35</f>
        <v>73404.889625045471</v>
      </c>
      <c r="Z35" s="5">
        <f t="shared" ref="Z35:Z48" si="41">IF(Y35&gt;0,(Y35/V35),0)</f>
        <v>8.5709844941538715E-2</v>
      </c>
      <c r="AA35" s="5">
        <v>6.9001902490868725E-2</v>
      </c>
      <c r="AB35" s="5">
        <f>Z35-AA35</f>
        <v>1.6707942450669991E-2</v>
      </c>
    </row>
    <row r="36" spans="1:31">
      <c r="A36" s="1" t="s">
        <v>57</v>
      </c>
      <c r="B36" s="30">
        <v>302.4500000000001</v>
      </c>
      <c r="C36" s="6">
        <v>2610768.6864921115</v>
      </c>
      <c r="D36" s="30">
        <v>0</v>
      </c>
      <c r="E36" s="6">
        <v>0</v>
      </c>
      <c r="F36" s="6">
        <v>0</v>
      </c>
      <c r="G36" s="6">
        <v>0</v>
      </c>
      <c r="H36" s="31">
        <v>0</v>
      </c>
      <c r="I36" s="6">
        <v>0</v>
      </c>
      <c r="J36" s="30">
        <f t="shared" si="32"/>
        <v>0</v>
      </c>
      <c r="K36" s="6">
        <f t="shared" si="32"/>
        <v>0</v>
      </c>
      <c r="L36" s="32">
        <f t="shared" si="33"/>
        <v>302.4500000000001</v>
      </c>
      <c r="M36" s="6">
        <f t="shared" si="33"/>
        <v>2610768.6864921115</v>
      </c>
      <c r="N36" s="33">
        <f t="shared" si="34"/>
        <v>8632.0670738704266</v>
      </c>
      <c r="O36" s="30">
        <v>0</v>
      </c>
      <c r="P36" s="33">
        <f t="shared" si="35"/>
        <v>0</v>
      </c>
      <c r="Q36" s="30">
        <v>153.4200000000003</v>
      </c>
      <c r="R36" s="34">
        <f t="shared" si="36"/>
        <v>1324331.7304732034</v>
      </c>
      <c r="S36" s="35">
        <f t="shared" si="37"/>
        <v>153.4200000000003</v>
      </c>
      <c r="T36" s="36">
        <f t="shared" si="37"/>
        <v>1324331.7304732034</v>
      </c>
      <c r="U36" s="2">
        <v>10.97</v>
      </c>
      <c r="V36" s="37">
        <v>103615.871</v>
      </c>
      <c r="W36" s="30">
        <f t="shared" si="38"/>
        <v>138.05999999999977</v>
      </c>
      <c r="X36" s="6">
        <f t="shared" si="39"/>
        <v>1191743.1802185492</v>
      </c>
      <c r="Y36" s="4">
        <f t="shared" si="40"/>
        <v>8922.0951996408403</v>
      </c>
      <c r="Z36" s="5">
        <f t="shared" si="41"/>
        <v>8.6107418810780836E-2</v>
      </c>
      <c r="AA36" s="5">
        <v>2.0744367463800418E-2</v>
      </c>
      <c r="AB36" s="5">
        <f t="shared" ref="AB36:AB40" si="42">Z36-AA36</f>
        <v>6.5363051346980422E-2</v>
      </c>
    </row>
    <row r="37" spans="1:31">
      <c r="A37" s="1" t="s">
        <v>58</v>
      </c>
      <c r="B37" s="30">
        <v>130.17499999999995</v>
      </c>
      <c r="C37" s="6">
        <v>1545827.9622622635</v>
      </c>
      <c r="D37" s="30">
        <v>0</v>
      </c>
      <c r="E37" s="6">
        <v>0</v>
      </c>
      <c r="F37" s="6">
        <v>0</v>
      </c>
      <c r="G37" s="6">
        <v>0</v>
      </c>
      <c r="H37" s="31">
        <v>15.260000000000019</v>
      </c>
      <c r="I37" s="6">
        <v>158570.16198998963</v>
      </c>
      <c r="J37" s="30">
        <f t="shared" si="32"/>
        <v>15.260000000000019</v>
      </c>
      <c r="K37" s="6">
        <f t="shared" si="32"/>
        <v>158570.16198998963</v>
      </c>
      <c r="L37" s="32">
        <f t="shared" si="33"/>
        <v>145.43499999999997</v>
      </c>
      <c r="M37" s="6">
        <f t="shared" si="33"/>
        <v>1704398.1242522532</v>
      </c>
      <c r="N37" s="33">
        <f t="shared" si="34"/>
        <v>11719.311886769028</v>
      </c>
      <c r="O37" s="30">
        <v>0</v>
      </c>
      <c r="P37" s="33">
        <f t="shared" si="35"/>
        <v>0</v>
      </c>
      <c r="Q37" s="30">
        <v>0</v>
      </c>
      <c r="R37" s="34">
        <f t="shared" si="36"/>
        <v>0</v>
      </c>
      <c r="S37" s="35">
        <f t="shared" si="37"/>
        <v>0</v>
      </c>
      <c r="T37" s="36">
        <f t="shared" si="37"/>
        <v>0</v>
      </c>
      <c r="U37" s="2">
        <v>15.6</v>
      </c>
      <c r="V37" s="37">
        <v>218640</v>
      </c>
      <c r="W37" s="30">
        <f t="shared" si="38"/>
        <v>129.83499999999998</v>
      </c>
      <c r="X37" s="6">
        <f t="shared" si="39"/>
        <v>1521576.8588186565</v>
      </c>
      <c r="Y37" s="4">
        <f t="shared" si="40"/>
        <v>35818.73456640332</v>
      </c>
      <c r="Z37" s="5">
        <f t="shared" si="41"/>
        <v>0.16382516724480115</v>
      </c>
      <c r="AA37" s="5">
        <v>5.4537547718363296E-4</v>
      </c>
      <c r="AB37" s="5">
        <f t="shared" si="42"/>
        <v>0.1632797917676175</v>
      </c>
    </row>
    <row r="38" spans="1:31">
      <c r="A38" s="1" t="s">
        <v>59</v>
      </c>
      <c r="B38" s="30">
        <v>72.365000000000009</v>
      </c>
      <c r="C38" s="6">
        <v>1249700.4828453928</v>
      </c>
      <c r="D38" s="30">
        <v>0</v>
      </c>
      <c r="E38" s="6">
        <v>0</v>
      </c>
      <c r="F38" s="6">
        <v>0</v>
      </c>
      <c r="G38" s="6">
        <v>0</v>
      </c>
      <c r="H38" s="31">
        <v>45.37</v>
      </c>
      <c r="I38" s="6">
        <v>517323.05141629011</v>
      </c>
      <c r="J38" s="30">
        <f t="shared" si="32"/>
        <v>45.37</v>
      </c>
      <c r="K38" s="6">
        <f t="shared" si="32"/>
        <v>517323.05141629011</v>
      </c>
      <c r="L38" s="32">
        <f t="shared" si="33"/>
        <v>117.73500000000001</v>
      </c>
      <c r="M38" s="6">
        <f t="shared" si="33"/>
        <v>1767023.534261683</v>
      </c>
      <c r="N38" s="33">
        <f t="shared" si="34"/>
        <v>15008.481201526163</v>
      </c>
      <c r="O38" s="30">
        <v>0</v>
      </c>
      <c r="P38" s="33">
        <f t="shared" si="35"/>
        <v>0</v>
      </c>
      <c r="Q38" s="30">
        <v>0</v>
      </c>
      <c r="R38" s="34">
        <f t="shared" si="36"/>
        <v>0</v>
      </c>
      <c r="S38" s="35">
        <f t="shared" si="37"/>
        <v>0</v>
      </c>
      <c r="T38" s="36">
        <f t="shared" si="37"/>
        <v>0</v>
      </c>
      <c r="U38" s="2">
        <v>40.63000000000001</v>
      </c>
      <c r="V38" s="37">
        <v>724381.5</v>
      </c>
      <c r="W38" s="30">
        <f t="shared" si="38"/>
        <v>77.105000000000004</v>
      </c>
      <c r="X38" s="6">
        <f t="shared" si="39"/>
        <v>1157228.9430436748</v>
      </c>
      <c r="Y38" s="4">
        <f t="shared" si="40"/>
        <v>114586.90878199181</v>
      </c>
      <c r="Z38" s="5">
        <f t="shared" si="41"/>
        <v>0.15818585756537379</v>
      </c>
      <c r="AA38" s="5">
        <v>0</v>
      </c>
      <c r="AB38" s="5">
        <f t="shared" si="42"/>
        <v>0.15818585756537379</v>
      </c>
    </row>
    <row r="39" spans="1:31">
      <c r="A39" s="1" t="s">
        <v>60</v>
      </c>
      <c r="B39" s="30">
        <v>23.855000000000025</v>
      </c>
      <c r="C39" s="6">
        <v>357825.00000000041</v>
      </c>
      <c r="D39" s="30">
        <v>0</v>
      </c>
      <c r="E39" s="6">
        <v>0</v>
      </c>
      <c r="F39" s="6">
        <v>0</v>
      </c>
      <c r="G39" s="6">
        <v>0</v>
      </c>
      <c r="H39" s="31">
        <v>22.23</v>
      </c>
      <c r="I39" s="6">
        <v>308255.25211284647</v>
      </c>
      <c r="J39" s="30">
        <f t="shared" si="32"/>
        <v>22.23</v>
      </c>
      <c r="K39" s="6">
        <f t="shared" si="32"/>
        <v>308255.25211284647</v>
      </c>
      <c r="L39" s="32">
        <f t="shared" si="33"/>
        <v>46.085000000000022</v>
      </c>
      <c r="M39" s="6">
        <f t="shared" si="33"/>
        <v>666080.25211284682</v>
      </c>
      <c r="N39" s="33">
        <f t="shared" si="34"/>
        <v>14453.29829907446</v>
      </c>
      <c r="O39" s="30">
        <v>0</v>
      </c>
      <c r="P39" s="33">
        <f t="shared" si="35"/>
        <v>0</v>
      </c>
      <c r="Q39" s="30">
        <v>0</v>
      </c>
      <c r="R39" s="34">
        <f t="shared" si="36"/>
        <v>0</v>
      </c>
      <c r="S39" s="35">
        <f t="shared" si="37"/>
        <v>0</v>
      </c>
      <c r="T39" s="36">
        <f t="shared" si="37"/>
        <v>0</v>
      </c>
      <c r="U39" s="2">
        <v>37.279999999999994</v>
      </c>
      <c r="V39" s="37">
        <v>696110</v>
      </c>
      <c r="W39" s="30">
        <f t="shared" si="38"/>
        <v>8.8050000000000281</v>
      </c>
      <c r="X39" s="6">
        <f t="shared" si="39"/>
        <v>127261.29152335103</v>
      </c>
      <c r="Y39" s="4">
        <f t="shared" si="40"/>
        <v>157291.03941050416</v>
      </c>
      <c r="Z39" s="5">
        <f t="shared" si="41"/>
        <v>0.22595716109595346</v>
      </c>
      <c r="AA39" s="5">
        <v>0.12647861692447679</v>
      </c>
      <c r="AB39" s="5">
        <f t="shared" si="42"/>
        <v>9.9478544171476668E-2</v>
      </c>
    </row>
    <row r="40" spans="1:31">
      <c r="A40" s="1" t="s">
        <v>61</v>
      </c>
      <c r="B40" s="30">
        <v>40.03</v>
      </c>
      <c r="C40" s="6">
        <v>652451.07756303682</v>
      </c>
      <c r="D40" s="30">
        <v>0</v>
      </c>
      <c r="E40" s="6">
        <v>0</v>
      </c>
      <c r="F40" s="6">
        <v>0</v>
      </c>
      <c r="G40" s="6">
        <v>0</v>
      </c>
      <c r="H40" s="31">
        <v>37.4</v>
      </c>
      <c r="I40" s="6">
        <v>644171.03019568347</v>
      </c>
      <c r="J40" s="30">
        <f t="shared" si="32"/>
        <v>37.4</v>
      </c>
      <c r="K40" s="6">
        <f t="shared" si="32"/>
        <v>644171.03019568347</v>
      </c>
      <c r="L40" s="32">
        <f t="shared" si="33"/>
        <v>77.430000000000007</v>
      </c>
      <c r="M40" s="6">
        <f t="shared" si="33"/>
        <v>1296622.1077587204</v>
      </c>
      <c r="N40" s="33">
        <f t="shared" si="34"/>
        <v>16745.73302025985</v>
      </c>
      <c r="O40" s="30">
        <v>0</v>
      </c>
      <c r="P40" s="33">
        <f t="shared" si="35"/>
        <v>0</v>
      </c>
      <c r="Q40" s="30">
        <v>0</v>
      </c>
      <c r="R40" s="34">
        <f t="shared" si="36"/>
        <v>0</v>
      </c>
      <c r="S40" s="35">
        <f t="shared" si="37"/>
        <v>0</v>
      </c>
      <c r="T40" s="36">
        <f t="shared" si="37"/>
        <v>0</v>
      </c>
      <c r="U40" s="2">
        <v>49.870000000000005</v>
      </c>
      <c r="V40" s="37">
        <v>1107713</v>
      </c>
      <c r="W40" s="30">
        <f t="shared" si="38"/>
        <v>27.560000000000002</v>
      </c>
      <c r="X40" s="6">
        <f t="shared" si="39"/>
        <v>461512.40203836147</v>
      </c>
      <c r="Y40" s="4">
        <f t="shared" si="40"/>
        <v>272603.29427964101</v>
      </c>
      <c r="Z40" s="5">
        <f t="shared" si="41"/>
        <v>0.24609559902216641</v>
      </c>
      <c r="AA40" s="5">
        <v>0.11786146657774917</v>
      </c>
      <c r="AB40" s="5">
        <f t="shared" si="42"/>
        <v>0.12823413244441723</v>
      </c>
    </row>
    <row r="41" spans="1:31">
      <c r="A41" s="1" t="s">
        <v>62</v>
      </c>
      <c r="B41" s="30">
        <v>40.919999999999987</v>
      </c>
      <c r="C41" s="6">
        <v>804682.48269256332</v>
      </c>
      <c r="D41" s="30">
        <v>0</v>
      </c>
      <c r="E41" s="6">
        <v>0</v>
      </c>
      <c r="F41" s="6">
        <v>0</v>
      </c>
      <c r="G41" s="6">
        <v>0</v>
      </c>
      <c r="H41" s="31">
        <v>26.22</v>
      </c>
      <c r="I41" s="6">
        <v>513554.33221530897</v>
      </c>
      <c r="J41" s="30">
        <f t="shared" si="32"/>
        <v>26.22</v>
      </c>
      <c r="K41" s="6">
        <f t="shared" si="32"/>
        <v>513554.33221530897</v>
      </c>
      <c r="L41" s="32">
        <f t="shared" si="33"/>
        <v>67.139999999999986</v>
      </c>
      <c r="M41" s="6">
        <f t="shared" si="33"/>
        <v>1318236.8149078724</v>
      </c>
      <c r="N41" s="33">
        <f t="shared" si="34"/>
        <v>19634.149760319819</v>
      </c>
      <c r="O41" s="30">
        <v>0</v>
      </c>
      <c r="P41" s="33">
        <f t="shared" si="35"/>
        <v>0</v>
      </c>
      <c r="Q41" s="30">
        <v>0</v>
      </c>
      <c r="R41" s="34">
        <f t="shared" si="36"/>
        <v>0</v>
      </c>
      <c r="S41" s="35">
        <f t="shared" si="37"/>
        <v>0</v>
      </c>
      <c r="T41" s="36">
        <f t="shared" si="37"/>
        <v>0</v>
      </c>
      <c r="U41" s="2">
        <v>34.869999999999997</v>
      </c>
      <c r="V41" s="37">
        <v>912544</v>
      </c>
      <c r="W41" s="30">
        <f t="shared" si="38"/>
        <v>32.269999999999989</v>
      </c>
      <c r="X41" s="6">
        <f t="shared" si="39"/>
        <v>633594.01276552037</v>
      </c>
      <c r="Y41" s="4">
        <f t="shared" si="40"/>
        <v>227901.1978576479</v>
      </c>
      <c r="Z41" s="5">
        <f t="shared" si="41"/>
        <v>0.24974269499075979</v>
      </c>
      <c r="AA41" s="5">
        <v>0</v>
      </c>
      <c r="AB41" s="5">
        <f>Z41-AA41</f>
        <v>0.24974269499075979</v>
      </c>
    </row>
    <row r="42" spans="1:31">
      <c r="A42" s="1" t="s">
        <v>63</v>
      </c>
      <c r="B42" s="30">
        <v>11.53</v>
      </c>
      <c r="C42" s="6">
        <v>245435.53382441352</v>
      </c>
      <c r="D42" s="30">
        <v>0</v>
      </c>
      <c r="E42" s="6">
        <v>0</v>
      </c>
      <c r="F42" s="6">
        <v>0</v>
      </c>
      <c r="G42" s="6">
        <v>0</v>
      </c>
      <c r="H42" s="31">
        <v>47.4</v>
      </c>
      <c r="I42" s="6">
        <v>1030504.4877252218</v>
      </c>
      <c r="J42" s="30">
        <f t="shared" si="32"/>
        <v>47.4</v>
      </c>
      <c r="K42" s="6">
        <f t="shared" si="32"/>
        <v>1030504.4877252218</v>
      </c>
      <c r="L42" s="32">
        <f t="shared" si="33"/>
        <v>58.93</v>
      </c>
      <c r="M42" s="6">
        <f t="shared" si="33"/>
        <v>1275940.0215496353</v>
      </c>
      <c r="N42" s="33">
        <f t="shared" si="34"/>
        <v>21651.790625311987</v>
      </c>
      <c r="O42" s="30">
        <v>0</v>
      </c>
      <c r="P42" s="33">
        <f t="shared" si="35"/>
        <v>0</v>
      </c>
      <c r="Q42" s="30">
        <v>0</v>
      </c>
      <c r="R42" s="34">
        <f t="shared" si="36"/>
        <v>0</v>
      </c>
      <c r="S42" s="35">
        <f t="shared" si="37"/>
        <v>0</v>
      </c>
      <c r="T42" s="36">
        <f t="shared" si="37"/>
        <v>0</v>
      </c>
      <c r="U42" s="2">
        <v>43.55</v>
      </c>
      <c r="V42" s="37">
        <v>1198632.5</v>
      </c>
      <c r="W42" s="30">
        <f t="shared" si="38"/>
        <v>15.380000000000003</v>
      </c>
      <c r="X42" s="6">
        <f t="shared" si="39"/>
        <v>333004.53981729841</v>
      </c>
      <c r="Y42" s="4">
        <f t="shared" si="40"/>
        <v>255697.01826766296</v>
      </c>
      <c r="Z42" s="5">
        <f t="shared" si="41"/>
        <v>0.21332394897323656</v>
      </c>
      <c r="AA42" s="5">
        <v>0.20430308502593922</v>
      </c>
      <c r="AB42" s="5">
        <f t="shared" ref="AB42:AB48" si="43">Z42-AA42</f>
        <v>9.0208639472973418E-3</v>
      </c>
    </row>
    <row r="43" spans="1:31">
      <c r="A43" s="1" t="s">
        <v>64</v>
      </c>
      <c r="B43" s="30">
        <v>1.63</v>
      </c>
      <c r="C43" s="6">
        <v>38679.845198852556</v>
      </c>
      <c r="D43" s="30">
        <v>0</v>
      </c>
      <c r="E43" s="6">
        <v>0</v>
      </c>
      <c r="F43" s="6">
        <v>0</v>
      </c>
      <c r="G43" s="6">
        <v>0</v>
      </c>
      <c r="H43" s="31">
        <v>8.0299999999999994</v>
      </c>
      <c r="I43" s="6">
        <v>207185.62604587316</v>
      </c>
      <c r="J43" s="30">
        <f t="shared" si="32"/>
        <v>8.0299999999999994</v>
      </c>
      <c r="K43" s="6">
        <f t="shared" si="32"/>
        <v>207185.62604587316</v>
      </c>
      <c r="L43" s="32">
        <f t="shared" si="33"/>
        <v>9.66</v>
      </c>
      <c r="M43" s="6">
        <f t="shared" si="33"/>
        <v>245865.47124472572</v>
      </c>
      <c r="N43" s="33">
        <f t="shared" si="34"/>
        <v>25451.912137135168</v>
      </c>
      <c r="O43" s="30">
        <v>0</v>
      </c>
      <c r="P43" s="33">
        <f t="shared" si="35"/>
        <v>0</v>
      </c>
      <c r="Q43" s="30">
        <v>0</v>
      </c>
      <c r="R43" s="34">
        <f t="shared" si="36"/>
        <v>0</v>
      </c>
      <c r="S43" s="35">
        <f t="shared" si="37"/>
        <v>0</v>
      </c>
      <c r="T43" s="36">
        <f t="shared" si="37"/>
        <v>0</v>
      </c>
      <c r="U43" s="2">
        <v>5.43</v>
      </c>
      <c r="V43" s="37">
        <v>177877.5</v>
      </c>
      <c r="W43" s="30">
        <f t="shared" si="38"/>
        <v>4.2300000000000004</v>
      </c>
      <c r="X43" s="6">
        <f t="shared" si="39"/>
        <v>107661.58834008177</v>
      </c>
      <c r="Y43" s="4">
        <f t="shared" si="40"/>
        <v>39673.617095356021</v>
      </c>
      <c r="Z43" s="5">
        <f t="shared" si="41"/>
        <v>0.22303898523059984</v>
      </c>
      <c r="AA43" s="5">
        <v>0</v>
      </c>
      <c r="AB43" s="5">
        <f t="shared" si="43"/>
        <v>0.22303898523059984</v>
      </c>
    </row>
    <row r="44" spans="1:31">
      <c r="A44" s="1" t="s">
        <v>65</v>
      </c>
      <c r="B44" s="30">
        <v>5.9300000000000006</v>
      </c>
      <c r="C44" s="6">
        <v>181708.10693444705</v>
      </c>
      <c r="D44" s="30">
        <v>0</v>
      </c>
      <c r="E44" s="6">
        <v>0</v>
      </c>
      <c r="F44" s="6">
        <v>0</v>
      </c>
      <c r="G44" s="6">
        <v>0</v>
      </c>
      <c r="H44" s="31">
        <v>7.7</v>
      </c>
      <c r="I44" s="6">
        <v>234445.66509804656</v>
      </c>
      <c r="J44" s="30">
        <f t="shared" si="32"/>
        <v>7.7</v>
      </c>
      <c r="K44" s="6">
        <f t="shared" si="32"/>
        <v>234445.66509804656</v>
      </c>
      <c r="L44" s="32">
        <f t="shared" si="33"/>
        <v>13.63</v>
      </c>
      <c r="M44" s="6">
        <f t="shared" si="33"/>
        <v>416153.77203249361</v>
      </c>
      <c r="N44" s="33">
        <f t="shared" si="34"/>
        <v>30532.191638480821</v>
      </c>
      <c r="O44" s="30">
        <v>0</v>
      </c>
      <c r="P44" s="33">
        <f t="shared" si="35"/>
        <v>0</v>
      </c>
      <c r="Q44" s="30">
        <v>0</v>
      </c>
      <c r="R44" s="34">
        <f t="shared" si="36"/>
        <v>0</v>
      </c>
      <c r="S44" s="35">
        <f t="shared" si="37"/>
        <v>0</v>
      </c>
      <c r="T44" s="36">
        <f t="shared" si="37"/>
        <v>0</v>
      </c>
      <c r="U44" s="2">
        <v>6.7200000000000006</v>
      </c>
      <c r="V44" s="37">
        <v>250600</v>
      </c>
      <c r="W44" s="30">
        <f t="shared" si="38"/>
        <v>6.91</v>
      </c>
      <c r="X44" s="6">
        <f t="shared" si="39"/>
        <v>210977.44422190246</v>
      </c>
      <c r="Y44" s="4">
        <f t="shared" si="40"/>
        <v>45423.672189408855</v>
      </c>
      <c r="Z44" s="5">
        <f t="shared" si="41"/>
        <v>0.18125966556029072</v>
      </c>
      <c r="AA44" s="5">
        <v>0.21430316541511207</v>
      </c>
      <c r="AB44" s="5">
        <f t="shared" si="43"/>
        <v>-3.3043499854821357E-2</v>
      </c>
    </row>
    <row r="45" spans="1:31">
      <c r="A45" s="1" t="s">
        <v>66</v>
      </c>
      <c r="B45" s="30">
        <v>3.52</v>
      </c>
      <c r="C45" s="6">
        <v>111744.8008554683</v>
      </c>
      <c r="D45" s="30">
        <v>0</v>
      </c>
      <c r="E45" s="6">
        <v>0</v>
      </c>
      <c r="F45" s="6">
        <v>0</v>
      </c>
      <c r="G45" s="6">
        <v>0</v>
      </c>
      <c r="H45" s="31">
        <v>0</v>
      </c>
      <c r="I45" s="6">
        <v>0</v>
      </c>
      <c r="J45" s="30">
        <f t="shared" si="32"/>
        <v>0</v>
      </c>
      <c r="K45" s="6">
        <f t="shared" si="32"/>
        <v>0</v>
      </c>
      <c r="L45" s="32">
        <f t="shared" si="33"/>
        <v>3.52</v>
      </c>
      <c r="M45" s="6">
        <f t="shared" si="33"/>
        <v>111744.8008554683</v>
      </c>
      <c r="N45" s="33">
        <f t="shared" si="34"/>
        <v>31745.682061212585</v>
      </c>
      <c r="O45" s="30">
        <v>0</v>
      </c>
      <c r="P45" s="33">
        <f t="shared" si="35"/>
        <v>0</v>
      </c>
      <c r="Q45" s="30">
        <v>0</v>
      </c>
      <c r="R45" s="34">
        <f t="shared" si="36"/>
        <v>0</v>
      </c>
      <c r="S45" s="35">
        <f t="shared" si="37"/>
        <v>0</v>
      </c>
      <c r="T45" s="36">
        <f t="shared" si="37"/>
        <v>0</v>
      </c>
      <c r="U45" s="2">
        <v>1.67</v>
      </c>
      <c r="V45" s="37">
        <v>66800</v>
      </c>
      <c r="W45" s="30">
        <f t="shared" si="38"/>
        <v>1.85</v>
      </c>
      <c r="X45" s="6">
        <f t="shared" si="39"/>
        <v>58729.511813243284</v>
      </c>
      <c r="Y45" s="4">
        <f t="shared" si="40"/>
        <v>13784.71095777498</v>
      </c>
      <c r="Z45" s="5">
        <f t="shared" si="41"/>
        <v>0.20635794846968533</v>
      </c>
      <c r="AA45" s="5">
        <v>0</v>
      </c>
      <c r="AB45" s="5">
        <f t="shared" si="43"/>
        <v>0.20635794846968533</v>
      </c>
    </row>
    <row r="46" spans="1:31">
      <c r="A46" s="1" t="s">
        <v>67</v>
      </c>
      <c r="B46" s="30">
        <v>5.46</v>
      </c>
      <c r="C46" s="6">
        <v>176901.36304376816</v>
      </c>
      <c r="D46" s="30">
        <v>0</v>
      </c>
      <c r="E46" s="6">
        <v>0</v>
      </c>
      <c r="F46" s="6">
        <v>0</v>
      </c>
      <c r="G46" s="6">
        <v>0</v>
      </c>
      <c r="H46" s="31">
        <v>3.05</v>
      </c>
      <c r="I46" s="6">
        <v>100493.25534260388</v>
      </c>
      <c r="J46" s="30">
        <f t="shared" si="32"/>
        <v>3.05</v>
      </c>
      <c r="K46" s="6">
        <f t="shared" si="32"/>
        <v>100493.25534260388</v>
      </c>
      <c r="L46" s="32">
        <f t="shared" si="33"/>
        <v>8.51</v>
      </c>
      <c r="M46" s="6">
        <f t="shared" si="33"/>
        <v>277394.61838637205</v>
      </c>
      <c r="N46" s="33">
        <f t="shared" si="34"/>
        <v>32596.312383827502</v>
      </c>
      <c r="O46" s="30">
        <v>0</v>
      </c>
      <c r="P46" s="33">
        <f t="shared" si="35"/>
        <v>0</v>
      </c>
      <c r="Q46" s="30">
        <v>0</v>
      </c>
      <c r="R46" s="34">
        <f t="shared" si="36"/>
        <v>0</v>
      </c>
      <c r="S46" s="35">
        <f t="shared" si="37"/>
        <v>0</v>
      </c>
      <c r="T46" s="36">
        <f t="shared" si="37"/>
        <v>0</v>
      </c>
      <c r="U46" s="2">
        <v>0.84</v>
      </c>
      <c r="V46" s="37">
        <v>32760</v>
      </c>
      <c r="W46" s="30">
        <f t="shared" si="38"/>
        <v>7.67</v>
      </c>
      <c r="X46" s="6">
        <f t="shared" si="39"/>
        <v>250013.71598395694</v>
      </c>
      <c r="Y46" s="4">
        <f t="shared" si="40"/>
        <v>5379.0975975848851</v>
      </c>
      <c r="Z46" s="5">
        <f t="shared" si="41"/>
        <v>0.16419711836339698</v>
      </c>
      <c r="AA46" s="5">
        <v>0</v>
      </c>
      <c r="AB46" s="5">
        <f t="shared" si="43"/>
        <v>0.16419711836339698</v>
      </c>
    </row>
    <row r="47" spans="1:31">
      <c r="A47" s="1" t="s">
        <v>68</v>
      </c>
      <c r="B47" s="30">
        <v>1.8900000000000001</v>
      </c>
      <c r="C47" s="6">
        <v>64155.800404918962</v>
      </c>
      <c r="D47" s="30">
        <v>0</v>
      </c>
      <c r="E47" s="6">
        <v>0</v>
      </c>
      <c r="F47" s="6">
        <v>0</v>
      </c>
      <c r="G47" s="6">
        <v>0</v>
      </c>
      <c r="H47" s="31">
        <v>1.5</v>
      </c>
      <c r="I47" s="6">
        <v>52023.524870783425</v>
      </c>
      <c r="J47" s="30">
        <f t="shared" si="32"/>
        <v>1.5</v>
      </c>
      <c r="K47" s="6">
        <f t="shared" si="32"/>
        <v>52023.524870783425</v>
      </c>
      <c r="L47" s="32">
        <f t="shared" si="33"/>
        <v>3.39</v>
      </c>
      <c r="M47" s="6">
        <f t="shared" si="33"/>
        <v>116179.32527570239</v>
      </c>
      <c r="N47" s="33">
        <f t="shared" si="34"/>
        <v>34271.187396962356</v>
      </c>
      <c r="O47" s="30">
        <v>0</v>
      </c>
      <c r="P47" s="33">
        <f t="shared" si="35"/>
        <v>0</v>
      </c>
      <c r="Q47" s="30">
        <v>0</v>
      </c>
      <c r="R47" s="34">
        <f t="shared" si="36"/>
        <v>0</v>
      </c>
      <c r="S47" s="35">
        <f t="shared" si="37"/>
        <v>0</v>
      </c>
      <c r="T47" s="36">
        <f t="shared" si="37"/>
        <v>0</v>
      </c>
      <c r="U47" s="2">
        <v>0.71</v>
      </c>
      <c r="V47" s="37">
        <v>26767</v>
      </c>
      <c r="W47" s="30">
        <f t="shared" si="38"/>
        <v>2.68</v>
      </c>
      <c r="X47" s="6">
        <f t="shared" si="39"/>
        <v>91846.782223859118</v>
      </c>
      <c r="Y47" s="4">
        <f t="shared" si="40"/>
        <v>2434.4569481567305</v>
      </c>
      <c r="Z47" s="5">
        <f t="shared" si="41"/>
        <v>9.0949936420096786E-2</v>
      </c>
      <c r="AA47" s="5">
        <v>0.27312916618606892</v>
      </c>
      <c r="AB47" s="5">
        <f t="shared" si="43"/>
        <v>-0.18217922976597212</v>
      </c>
    </row>
    <row r="48" spans="1:31">
      <c r="A48" s="1" t="s">
        <v>69</v>
      </c>
      <c r="B48" s="30">
        <v>4.2799999999999994</v>
      </c>
      <c r="C48" s="6">
        <v>190405.02206140762</v>
      </c>
      <c r="D48" s="30">
        <v>0</v>
      </c>
      <c r="E48" s="6">
        <v>0</v>
      </c>
      <c r="F48" s="6">
        <v>0</v>
      </c>
      <c r="G48" s="6">
        <v>0</v>
      </c>
      <c r="H48" s="31">
        <v>2.1</v>
      </c>
      <c r="I48" s="6">
        <v>93423.024843214036</v>
      </c>
      <c r="J48" s="30">
        <f t="shared" si="32"/>
        <v>2.1</v>
      </c>
      <c r="K48" s="6">
        <f t="shared" si="32"/>
        <v>93423.024843214036</v>
      </c>
      <c r="L48" s="32">
        <f t="shared" si="33"/>
        <v>6.379999999999999</v>
      </c>
      <c r="M48" s="6">
        <f t="shared" si="33"/>
        <v>283828.04690462165</v>
      </c>
      <c r="N48" s="33">
        <f t="shared" si="34"/>
        <v>44487.15468724478</v>
      </c>
      <c r="O48" s="30">
        <v>0</v>
      </c>
      <c r="P48" s="33">
        <f t="shared" si="35"/>
        <v>0</v>
      </c>
      <c r="Q48" s="30">
        <v>0</v>
      </c>
      <c r="R48" s="34">
        <f t="shared" si="36"/>
        <v>0</v>
      </c>
      <c r="S48" s="35">
        <f t="shared" si="37"/>
        <v>0</v>
      </c>
      <c r="T48" s="36">
        <f t="shared" si="37"/>
        <v>0</v>
      </c>
      <c r="U48" s="2">
        <v>4.2</v>
      </c>
      <c r="V48" s="37">
        <v>186102</v>
      </c>
      <c r="W48" s="30">
        <f t="shared" si="38"/>
        <v>2.1799999999999988</v>
      </c>
      <c r="X48" s="6">
        <f t="shared" si="39"/>
        <v>96981.997218193574</v>
      </c>
      <c r="Y48" s="4">
        <f t="shared" si="40"/>
        <v>-744.04968642804306</v>
      </c>
      <c r="Z48" s="5">
        <f t="shared" si="41"/>
        <v>0</v>
      </c>
      <c r="AA48" s="5">
        <v>0</v>
      </c>
      <c r="AB48" s="5">
        <f t="shared" si="43"/>
        <v>0</v>
      </c>
    </row>
    <row r="49" spans="1:29">
      <c r="B49" s="30"/>
      <c r="C49" s="6"/>
      <c r="D49" s="30"/>
      <c r="E49" s="6"/>
      <c r="F49" s="6"/>
      <c r="G49" s="6"/>
      <c r="H49" s="6"/>
      <c r="I49" s="6"/>
      <c r="J49" s="30"/>
      <c r="K49" s="6"/>
      <c r="L49" s="32"/>
      <c r="M49" s="6"/>
      <c r="N49" s="33"/>
      <c r="O49" s="30"/>
      <c r="P49" s="33"/>
      <c r="Q49" s="30"/>
      <c r="R49" s="33"/>
      <c r="S49" s="49"/>
      <c r="T49" s="34"/>
      <c r="U49" s="30"/>
      <c r="V49" s="6"/>
      <c r="W49" s="30"/>
      <c r="X49" s="6"/>
    </row>
    <row r="50" spans="1:29" ht="14.4" thickBot="1">
      <c r="A50" s="1" t="s">
        <v>38</v>
      </c>
      <c r="B50" s="56">
        <f t="shared" ref="B50:M50" si="44">SUM(B35:B48)</f>
        <v>1194.4150000000004</v>
      </c>
      <c r="C50" s="58">
        <f t="shared" si="44"/>
        <v>11443318.107466256</v>
      </c>
      <c r="D50" s="56">
        <f t="shared" si="44"/>
        <v>0</v>
      </c>
      <c r="E50" s="58">
        <f t="shared" si="44"/>
        <v>0</v>
      </c>
      <c r="F50" s="56">
        <f t="shared" si="44"/>
        <v>0</v>
      </c>
      <c r="G50" s="58">
        <f t="shared" si="44"/>
        <v>0</v>
      </c>
      <c r="H50" s="56">
        <f t="shared" si="44"/>
        <v>216.26000000000002</v>
      </c>
      <c r="I50" s="58">
        <f t="shared" si="44"/>
        <v>3859949.4118558615</v>
      </c>
      <c r="J50" s="56">
        <f t="shared" si="44"/>
        <v>216.26000000000002</v>
      </c>
      <c r="K50" s="58">
        <f t="shared" si="44"/>
        <v>3859949.4118558615</v>
      </c>
      <c r="L50" s="56">
        <f t="shared" si="44"/>
        <v>1410.6750000000006</v>
      </c>
      <c r="M50" s="58">
        <f t="shared" si="44"/>
        <v>15303267.51932212</v>
      </c>
      <c r="N50" s="48"/>
      <c r="O50" s="56">
        <f>SUM(O35:O48)</f>
        <v>0</v>
      </c>
      <c r="P50" s="58">
        <f>SUM(P35:P48)</f>
        <v>0</v>
      </c>
      <c r="Q50" s="56">
        <f>SUM(Q35:Q48)</f>
        <v>260.50000000000023</v>
      </c>
      <c r="R50" s="58">
        <f>SUM(R35:R48)</f>
        <v>1949447.9419765957</v>
      </c>
      <c r="S50" s="56">
        <f t="shared" ref="S50:W50" si="45">SUM(S35:S48)</f>
        <v>260.50000000000023</v>
      </c>
      <c r="T50" s="58">
        <f t="shared" si="45"/>
        <v>1949447.9419765957</v>
      </c>
      <c r="U50" s="56">
        <f t="shared" si="45"/>
        <v>386.47</v>
      </c>
      <c r="V50" s="58">
        <f t="shared" si="45"/>
        <v>6558978.1210000003</v>
      </c>
      <c r="W50" s="56">
        <f t="shared" si="45"/>
        <v>763.7049999999997</v>
      </c>
      <c r="X50" s="58">
        <f>SUM(X35:X48)</f>
        <v>8047018.1394359153</v>
      </c>
      <c r="Y50" s="58">
        <f t="shared" ref="Y50" si="46">SUM(Y35:Y49)</f>
        <v>1252176.6830903911</v>
      </c>
      <c r="Z50" s="42">
        <f>IF(Y50&gt;0,(Y50/V50),0)</f>
        <v>0.1909103308457874</v>
      </c>
      <c r="AA50" s="42">
        <v>3.9284801476140441E-2</v>
      </c>
      <c r="AB50" s="42">
        <f t="shared" ref="AB50" si="47">Z50-AA50</f>
        <v>0.15162552936964696</v>
      </c>
    </row>
    <row r="51" spans="1:29" ht="14.4" thickTop="1">
      <c r="C51" s="62"/>
      <c r="E51" s="62"/>
      <c r="F51" s="62"/>
      <c r="G51" s="62"/>
      <c r="H51" s="62"/>
      <c r="I51" s="62"/>
      <c r="J51" s="63"/>
      <c r="K51" s="62"/>
      <c r="L51" s="50"/>
      <c r="X51" s="62"/>
    </row>
    <row r="52" spans="1:29">
      <c r="A52" s="1" t="str">
        <f>+A1</f>
        <v>Shree Jewellers Eximp Private Limited</v>
      </c>
      <c r="C52" s="62"/>
      <c r="E52" s="62"/>
      <c r="F52" s="62"/>
      <c r="G52" s="62"/>
      <c r="H52" s="62"/>
      <c r="I52" s="62"/>
      <c r="J52" s="63"/>
      <c r="K52" s="62"/>
      <c r="L52" s="50"/>
      <c r="X52" s="62"/>
    </row>
    <row r="53" spans="1:29">
      <c r="A53" s="1" t="str">
        <f t="shared" ref="A53:A54" si="48">+A2</f>
        <v>3-6-354/1,2 &amp;18 Basheerbagh Branch</v>
      </c>
      <c r="C53" s="62"/>
      <c r="E53" s="62"/>
      <c r="F53" s="62"/>
      <c r="G53" s="62"/>
      <c r="H53" s="62"/>
      <c r="I53" s="62"/>
      <c r="J53" s="63"/>
      <c r="K53" s="62"/>
      <c r="L53" s="50"/>
      <c r="X53" s="64" t="str">
        <f>+X2</f>
        <v>AY 2026-2027</v>
      </c>
    </row>
    <row r="54" spans="1:29">
      <c r="A54" s="1" t="str">
        <f t="shared" si="48"/>
        <v>Hyderabad - 500029</v>
      </c>
      <c r="C54" s="62"/>
      <c r="E54" s="62"/>
      <c r="F54" s="62"/>
      <c r="G54" s="62"/>
      <c r="H54" s="62"/>
      <c r="I54" s="62"/>
      <c r="J54" s="63"/>
      <c r="K54" s="62"/>
      <c r="L54" s="50"/>
      <c r="X54" s="62"/>
    </row>
    <row r="55" spans="1:29">
      <c r="C55" s="62"/>
      <c r="E55" s="62"/>
      <c r="F55" s="62"/>
      <c r="G55" s="62"/>
      <c r="H55" s="62"/>
      <c r="I55" s="62"/>
      <c r="J55" s="63"/>
      <c r="K55" s="62"/>
      <c r="L55" s="50"/>
      <c r="X55" s="62"/>
    </row>
    <row r="56" spans="1:29">
      <c r="C56" s="62"/>
      <c r="E56" s="62"/>
      <c r="F56" s="62"/>
      <c r="G56" s="62"/>
      <c r="H56" s="62"/>
      <c r="I56" s="62"/>
      <c r="J56" s="63"/>
      <c r="K56" s="62"/>
      <c r="L56" s="50"/>
      <c r="X56" s="62"/>
    </row>
    <row r="57" spans="1:29" s="21" customFormat="1">
      <c r="A57" s="9" t="s">
        <v>1</v>
      </c>
      <c r="B57" s="10" t="s">
        <v>2</v>
      </c>
      <c r="C57" s="10"/>
      <c r="D57" s="10" t="s">
        <v>3</v>
      </c>
      <c r="E57" s="10"/>
      <c r="F57" s="11" t="s">
        <v>4</v>
      </c>
      <c r="G57" s="12"/>
      <c r="H57" s="11" t="s">
        <v>5</v>
      </c>
      <c r="I57" s="12"/>
      <c r="J57" s="11" t="s">
        <v>6</v>
      </c>
      <c r="K57" s="12"/>
      <c r="L57" s="10" t="s">
        <v>7</v>
      </c>
      <c r="M57" s="10"/>
      <c r="N57" s="13" t="s">
        <v>8</v>
      </c>
      <c r="O57" s="11" t="s">
        <v>9</v>
      </c>
      <c r="P57" s="12"/>
      <c r="Q57" s="11" t="s">
        <v>10</v>
      </c>
      <c r="R57" s="12"/>
      <c r="S57" s="14" t="s">
        <v>11</v>
      </c>
      <c r="T57" s="15"/>
      <c r="U57" s="16" t="s">
        <v>12</v>
      </c>
      <c r="V57" s="17"/>
      <c r="W57" s="10" t="s">
        <v>13</v>
      </c>
      <c r="X57" s="10"/>
      <c r="Y57" s="18" t="s">
        <v>14</v>
      </c>
      <c r="Z57" s="19"/>
      <c r="AA57" s="20" t="e">
        <f>+#REF!</f>
        <v>#REF!</v>
      </c>
      <c r="AB57" s="20" t="s">
        <v>16</v>
      </c>
    </row>
    <row r="58" spans="1:29" s="21" customFormat="1" ht="27.6">
      <c r="A58" s="22">
        <v>1</v>
      </c>
      <c r="B58" s="23" t="s">
        <v>17</v>
      </c>
      <c r="C58" s="24" t="s">
        <v>18</v>
      </c>
      <c r="D58" s="23" t="s">
        <v>19</v>
      </c>
      <c r="E58" s="24" t="s">
        <v>20</v>
      </c>
      <c r="F58" s="23" t="s">
        <v>21</v>
      </c>
      <c r="G58" s="24" t="s">
        <v>22</v>
      </c>
      <c r="H58" s="23" t="s">
        <v>21</v>
      </c>
      <c r="I58" s="24" t="s">
        <v>22</v>
      </c>
      <c r="J58" s="23" t="s">
        <v>23</v>
      </c>
      <c r="K58" s="24" t="s">
        <v>24</v>
      </c>
      <c r="L58" s="25" t="s">
        <v>25</v>
      </c>
      <c r="M58" s="24" t="s">
        <v>26</v>
      </c>
      <c r="N58" s="13" t="s">
        <v>27</v>
      </c>
      <c r="O58" s="23" t="s">
        <v>21</v>
      </c>
      <c r="P58" s="24" t="s">
        <v>22</v>
      </c>
      <c r="Q58" s="23" t="s">
        <v>21</v>
      </c>
      <c r="R58" s="24" t="s">
        <v>22</v>
      </c>
      <c r="S58" s="23" t="s">
        <v>28</v>
      </c>
      <c r="T58" s="24" t="s">
        <v>29</v>
      </c>
      <c r="U58" s="23" t="s">
        <v>30</v>
      </c>
      <c r="V58" s="24" t="s">
        <v>31</v>
      </c>
      <c r="W58" s="23" t="s">
        <v>32</v>
      </c>
      <c r="X58" s="24" t="s">
        <v>33</v>
      </c>
      <c r="Y58" s="24" t="s">
        <v>34</v>
      </c>
      <c r="Z58" s="26" t="s">
        <v>35</v>
      </c>
      <c r="AA58" s="27"/>
      <c r="AB58" s="27"/>
    </row>
    <row r="59" spans="1:29">
      <c r="A59" s="51"/>
      <c r="B59" s="30"/>
      <c r="C59" s="34"/>
      <c r="D59" s="30"/>
    </row>
    <row r="60" spans="1:29">
      <c r="A60" s="28" t="s">
        <v>70</v>
      </c>
      <c r="B60" s="30"/>
      <c r="C60" s="34"/>
      <c r="D60" s="30"/>
    </row>
    <row r="61" spans="1:29">
      <c r="A61" s="51" t="s">
        <v>71</v>
      </c>
      <c r="B61" s="30">
        <v>16.57</v>
      </c>
      <c r="C61" s="6">
        <v>233756.52169544809</v>
      </c>
      <c r="D61" s="30">
        <v>0</v>
      </c>
      <c r="E61" s="6">
        <v>0</v>
      </c>
      <c r="F61" s="30">
        <v>0</v>
      </c>
      <c r="G61" s="33">
        <v>0</v>
      </c>
      <c r="H61" s="31">
        <v>0</v>
      </c>
      <c r="I61" s="6">
        <v>0</v>
      </c>
      <c r="J61" s="2">
        <f>+F61+H61</f>
        <v>0</v>
      </c>
      <c r="K61" s="3">
        <f>+G61+I61</f>
        <v>0</v>
      </c>
      <c r="L61" s="32">
        <f t="shared" ref="L61:M78" si="49">B61+D61+J61</f>
        <v>16.57</v>
      </c>
      <c r="M61" s="6">
        <f t="shared" si="49"/>
        <v>233756.52169544809</v>
      </c>
      <c r="N61" s="33">
        <f t="shared" ref="N61:N79" si="50">M61/L61</f>
        <v>14107.213137926861</v>
      </c>
      <c r="O61" s="30">
        <v>0</v>
      </c>
      <c r="P61" s="33">
        <f t="shared" ref="P61:P79" si="51">+N61*O61</f>
        <v>0</v>
      </c>
      <c r="Q61" s="30">
        <v>0</v>
      </c>
      <c r="R61" s="34">
        <f t="shared" ref="R61:R79" si="52">+N61*Q61</f>
        <v>0</v>
      </c>
      <c r="S61" s="35">
        <f t="shared" ref="S61:T78" si="53">+O61+Q61</f>
        <v>0</v>
      </c>
      <c r="T61" s="36">
        <f t="shared" si="53"/>
        <v>0</v>
      </c>
      <c r="U61" s="2">
        <v>16.57</v>
      </c>
      <c r="V61" s="37">
        <v>229218</v>
      </c>
      <c r="W61" s="30">
        <f t="shared" ref="W61:W79" si="54">L61-U61-S61</f>
        <v>0</v>
      </c>
      <c r="X61" s="6">
        <f t="shared" ref="X61:X79" si="55">W61*N61</f>
        <v>0</v>
      </c>
      <c r="Y61" s="4">
        <f t="shared" ref="Y61:Y79" si="56">+X61+V61+T61-M61</f>
        <v>-4538.5216954480857</v>
      </c>
      <c r="Z61" s="5">
        <f t="shared" ref="Z61:Z79" si="57">IF(Y61&gt;0,(Y61/V61),0)</f>
        <v>0</v>
      </c>
      <c r="AA61" s="5">
        <v>0.12526766613204759</v>
      </c>
      <c r="AB61" s="5">
        <f>Z61-AA61</f>
        <v>-0.12526766613204759</v>
      </c>
      <c r="AC61" s="65"/>
    </row>
    <row r="62" spans="1:29">
      <c r="A62" s="51" t="s">
        <v>72</v>
      </c>
      <c r="B62" s="30">
        <v>557.03899999999999</v>
      </c>
      <c r="C62" s="6">
        <v>11330976.566474043</v>
      </c>
      <c r="D62" s="30">
        <v>0</v>
      </c>
      <c r="E62" s="6">
        <v>0</v>
      </c>
      <c r="F62" s="30">
        <v>0</v>
      </c>
      <c r="G62" s="33">
        <v>0</v>
      </c>
      <c r="H62" s="31">
        <v>521.25</v>
      </c>
      <c r="I62" s="6">
        <v>7730844.0046372805</v>
      </c>
      <c r="J62" s="2">
        <f t="shared" ref="J62:K77" si="58">+F62+H62</f>
        <v>521.25</v>
      </c>
      <c r="K62" s="3">
        <f t="shared" si="58"/>
        <v>7730844.0046372805</v>
      </c>
      <c r="L62" s="32">
        <f t="shared" si="49"/>
        <v>1078.289</v>
      </c>
      <c r="M62" s="6">
        <f t="shared" si="49"/>
        <v>19061820.571111321</v>
      </c>
      <c r="N62" s="33">
        <f t="shared" si="50"/>
        <v>17677.840144072063</v>
      </c>
      <c r="O62" s="30">
        <v>0</v>
      </c>
      <c r="P62" s="33">
        <f t="shared" si="51"/>
        <v>0</v>
      </c>
      <c r="Q62" s="30">
        <v>0</v>
      </c>
      <c r="R62" s="34">
        <f t="shared" si="52"/>
        <v>0</v>
      </c>
      <c r="S62" s="35">
        <f t="shared" si="53"/>
        <v>0</v>
      </c>
      <c r="T62" s="36">
        <f t="shared" si="53"/>
        <v>0</v>
      </c>
      <c r="U62" s="2">
        <v>702.38499999999772</v>
      </c>
      <c r="V62" s="37">
        <v>13550741.227</v>
      </c>
      <c r="W62" s="30">
        <f t="shared" si="54"/>
        <v>375.90400000000227</v>
      </c>
      <c r="X62" s="6">
        <f t="shared" si="55"/>
        <v>6645170.8215173045</v>
      </c>
      <c r="Y62" s="4">
        <f t="shared" si="56"/>
        <v>1134091.477405984</v>
      </c>
      <c r="Z62" s="5">
        <f t="shared" si="57"/>
        <v>8.3692209777151846E-2</v>
      </c>
      <c r="AA62" s="5">
        <v>8.4819754462867339E-2</v>
      </c>
      <c r="AB62" s="5">
        <f t="shared" ref="AB62:AB79" si="59">Z62-AA62</f>
        <v>-1.1275446857154925E-3</v>
      </c>
      <c r="AC62" s="65"/>
    </row>
    <row r="63" spans="1:29">
      <c r="A63" s="51" t="s">
        <v>73</v>
      </c>
      <c r="B63" s="30">
        <v>1356.8870000000006</v>
      </c>
      <c r="C63" s="6">
        <v>35181651.542711899</v>
      </c>
      <c r="D63" s="30">
        <v>0</v>
      </c>
      <c r="E63" s="6">
        <v>0</v>
      </c>
      <c r="F63" s="30">
        <v>0</v>
      </c>
      <c r="G63" s="33">
        <v>0</v>
      </c>
      <c r="H63" s="31">
        <v>168.94000000000142</v>
      </c>
      <c r="I63" s="6">
        <v>3399900.8230778533</v>
      </c>
      <c r="J63" s="2">
        <f t="shared" si="58"/>
        <v>168.94000000000142</v>
      </c>
      <c r="K63" s="3">
        <f t="shared" si="58"/>
        <v>3399900.8230778533</v>
      </c>
      <c r="L63" s="32">
        <f t="shared" si="49"/>
        <v>1525.827000000002</v>
      </c>
      <c r="M63" s="6">
        <f t="shared" si="49"/>
        <v>38581552.365789749</v>
      </c>
      <c r="N63" s="33">
        <f t="shared" si="50"/>
        <v>25285.666308034724</v>
      </c>
      <c r="O63" s="30">
        <v>0</v>
      </c>
      <c r="P63" s="33">
        <f t="shared" si="51"/>
        <v>0</v>
      </c>
      <c r="Q63" s="30">
        <v>0</v>
      </c>
      <c r="R63" s="34">
        <f t="shared" si="52"/>
        <v>0</v>
      </c>
      <c r="S63" s="35">
        <f t="shared" si="53"/>
        <v>0</v>
      </c>
      <c r="T63" s="36">
        <f t="shared" si="53"/>
        <v>0</v>
      </c>
      <c r="U63" s="2">
        <v>337.42000000000058</v>
      </c>
      <c r="V63" s="37">
        <v>8993348.5</v>
      </c>
      <c r="W63" s="30">
        <f t="shared" si="54"/>
        <v>1188.4070000000015</v>
      </c>
      <c r="X63" s="6">
        <f t="shared" si="55"/>
        <v>30049662.840132661</v>
      </c>
      <c r="Y63" s="4">
        <f t="shared" si="56"/>
        <v>461458.97434291244</v>
      </c>
      <c r="Z63" s="5">
        <f t="shared" si="57"/>
        <v>5.1311141155367487E-2</v>
      </c>
      <c r="AA63" s="5">
        <v>9.1022841036418708E-2</v>
      </c>
      <c r="AB63" s="5">
        <f t="shared" si="59"/>
        <v>-3.9711699881051221E-2</v>
      </c>
      <c r="AC63" s="65"/>
    </row>
    <row r="64" spans="1:29">
      <c r="A64" s="51" t="s">
        <v>74</v>
      </c>
      <c r="B64" s="30">
        <v>542.03</v>
      </c>
      <c r="C64" s="6">
        <v>15768310.260882851</v>
      </c>
      <c r="D64" s="30">
        <v>0</v>
      </c>
      <c r="E64" s="6">
        <v>0</v>
      </c>
      <c r="F64" s="30">
        <v>0</v>
      </c>
      <c r="G64" s="33">
        <v>0</v>
      </c>
      <c r="H64" s="31">
        <v>108.51</v>
      </c>
      <c r="I64" s="6">
        <v>2673769.6820360138</v>
      </c>
      <c r="J64" s="2">
        <f t="shared" si="58"/>
        <v>108.51</v>
      </c>
      <c r="K64" s="3">
        <f t="shared" si="58"/>
        <v>2673769.6820360138</v>
      </c>
      <c r="L64" s="32">
        <f t="shared" si="49"/>
        <v>650.54</v>
      </c>
      <c r="M64" s="6">
        <f t="shared" si="49"/>
        <v>18442079.942918863</v>
      </c>
      <c r="N64" s="33">
        <f t="shared" si="50"/>
        <v>28348.879304760452</v>
      </c>
      <c r="O64" s="30">
        <v>0</v>
      </c>
      <c r="P64" s="33">
        <f t="shared" si="51"/>
        <v>0</v>
      </c>
      <c r="Q64" s="30">
        <v>0</v>
      </c>
      <c r="R64" s="34">
        <f t="shared" si="52"/>
        <v>0</v>
      </c>
      <c r="S64" s="35">
        <f t="shared" si="53"/>
        <v>0</v>
      </c>
      <c r="T64" s="36">
        <f t="shared" si="53"/>
        <v>0</v>
      </c>
      <c r="U64" s="2">
        <v>162.12000000000015</v>
      </c>
      <c r="V64" s="37">
        <v>5190158.5</v>
      </c>
      <c r="W64" s="30">
        <f t="shared" si="54"/>
        <v>488.41999999999985</v>
      </c>
      <c r="X64" s="6">
        <f t="shared" si="55"/>
        <v>13846159.630031096</v>
      </c>
      <c r="Y64" s="4">
        <f t="shared" si="56"/>
        <v>594238.18711223081</v>
      </c>
      <c r="Z64" s="5">
        <f t="shared" si="57"/>
        <v>0.11449326395566355</v>
      </c>
      <c r="AA64" s="5">
        <v>0.19213362509504817</v>
      </c>
      <c r="AB64" s="5">
        <f t="shared" si="59"/>
        <v>-7.764036113938462E-2</v>
      </c>
      <c r="AC64" s="65"/>
    </row>
    <row r="65" spans="1:29">
      <c r="A65" s="51" t="s">
        <v>75</v>
      </c>
      <c r="B65" s="30">
        <v>2194.3079999999991</v>
      </c>
      <c r="C65" s="6">
        <v>72582192.644626454</v>
      </c>
      <c r="D65" s="30">
        <v>0</v>
      </c>
      <c r="E65" s="6">
        <v>0</v>
      </c>
      <c r="F65" s="30">
        <v>0</v>
      </c>
      <c r="G65" s="33">
        <v>0</v>
      </c>
      <c r="H65" s="31">
        <v>1424.77</v>
      </c>
      <c r="I65" s="6">
        <v>36724445.673530124</v>
      </c>
      <c r="J65" s="2">
        <f t="shared" si="58"/>
        <v>1424.77</v>
      </c>
      <c r="K65" s="3">
        <f t="shared" si="58"/>
        <v>36724445.673530124</v>
      </c>
      <c r="L65" s="32">
        <f t="shared" si="49"/>
        <v>3619.0779999999991</v>
      </c>
      <c r="M65" s="6">
        <f t="shared" si="49"/>
        <v>109306638.31815657</v>
      </c>
      <c r="N65" s="33">
        <f>M65/L65</f>
        <v>30202.896516227778</v>
      </c>
      <c r="O65" s="30">
        <v>0</v>
      </c>
      <c r="P65" s="33">
        <f t="shared" si="51"/>
        <v>0</v>
      </c>
      <c r="Q65" s="30">
        <v>0</v>
      </c>
      <c r="R65" s="34">
        <f t="shared" si="52"/>
        <v>0</v>
      </c>
      <c r="S65" s="35">
        <f t="shared" si="53"/>
        <v>0</v>
      </c>
      <c r="T65" s="36">
        <f t="shared" si="53"/>
        <v>0</v>
      </c>
      <c r="U65" s="2">
        <v>103.21</v>
      </c>
      <c r="V65" s="37">
        <v>3847270</v>
      </c>
      <c r="W65" s="30">
        <f t="shared" si="54"/>
        <v>3515.867999999999</v>
      </c>
      <c r="X65" s="6">
        <f t="shared" si="55"/>
        <v>106189397.3687167</v>
      </c>
      <c r="Y65" s="4">
        <f t="shared" si="56"/>
        <v>730029.05056013167</v>
      </c>
      <c r="Z65" s="5">
        <f t="shared" si="57"/>
        <v>0.18975248697391439</v>
      </c>
      <c r="AA65" s="5">
        <v>0.22914423145619384</v>
      </c>
      <c r="AB65" s="5">
        <f t="shared" si="59"/>
        <v>-3.9391744482279445E-2</v>
      </c>
      <c r="AC65" s="65"/>
    </row>
    <row r="66" spans="1:29">
      <c r="A66" s="51" t="s">
        <v>76</v>
      </c>
      <c r="B66" s="30">
        <v>237.70599999999996</v>
      </c>
      <c r="C66" s="6">
        <v>9550944.9247276075</v>
      </c>
      <c r="D66" s="30">
        <v>0</v>
      </c>
      <c r="E66" s="6">
        <v>0</v>
      </c>
      <c r="F66" s="30">
        <v>0</v>
      </c>
      <c r="G66" s="33">
        <v>0</v>
      </c>
      <c r="H66" s="31">
        <v>197.97</v>
      </c>
      <c r="I66" s="6">
        <v>5245465.7577095954</v>
      </c>
      <c r="J66" s="2">
        <f t="shared" si="58"/>
        <v>197.97</v>
      </c>
      <c r="K66" s="3">
        <f t="shared" si="58"/>
        <v>5245465.7577095954</v>
      </c>
      <c r="L66" s="32">
        <f t="shared" si="49"/>
        <v>435.67599999999993</v>
      </c>
      <c r="M66" s="6">
        <f t="shared" si="49"/>
        <v>14796410.682437204</v>
      </c>
      <c r="N66" s="33">
        <f t="shared" si="50"/>
        <v>33961.959535152746</v>
      </c>
      <c r="O66" s="30">
        <v>0</v>
      </c>
      <c r="P66" s="33">
        <f t="shared" si="51"/>
        <v>0</v>
      </c>
      <c r="Q66" s="30">
        <v>0</v>
      </c>
      <c r="R66" s="34">
        <f t="shared" si="52"/>
        <v>0</v>
      </c>
      <c r="S66" s="35">
        <f t="shared" si="53"/>
        <v>0</v>
      </c>
      <c r="T66" s="36">
        <f t="shared" si="53"/>
        <v>0</v>
      </c>
      <c r="U66" s="2">
        <v>72.550000000000011</v>
      </c>
      <c r="V66" s="37">
        <v>3367506.5</v>
      </c>
      <c r="W66" s="30">
        <f t="shared" si="54"/>
        <v>363.12599999999992</v>
      </c>
      <c r="X66" s="6">
        <f t="shared" si="55"/>
        <v>12332470.518161872</v>
      </c>
      <c r="Y66" s="4">
        <f t="shared" si="56"/>
        <v>903566.33572466858</v>
      </c>
      <c r="Z66" s="5">
        <f t="shared" si="57"/>
        <v>0.26831910665196002</v>
      </c>
      <c r="AA66" s="5">
        <v>0.24492738761187588</v>
      </c>
      <c r="AB66" s="5">
        <f t="shared" si="59"/>
        <v>2.3391719040084136E-2</v>
      </c>
      <c r="AC66" s="65"/>
    </row>
    <row r="67" spans="1:29">
      <c r="A67" s="51" t="s">
        <v>77</v>
      </c>
      <c r="B67" s="30">
        <v>35.71999999999997</v>
      </c>
      <c r="C67" s="6">
        <v>1498501.0659158141</v>
      </c>
      <c r="D67" s="30">
        <v>0</v>
      </c>
      <c r="E67" s="6">
        <v>0</v>
      </c>
      <c r="F67" s="30">
        <v>0</v>
      </c>
      <c r="G67" s="33">
        <v>0</v>
      </c>
      <c r="H67" s="31">
        <v>190.49999999999997</v>
      </c>
      <c r="I67" s="6">
        <v>7095681.7620000551</v>
      </c>
      <c r="J67" s="2">
        <f t="shared" si="58"/>
        <v>190.49999999999997</v>
      </c>
      <c r="K67" s="3">
        <f t="shared" si="58"/>
        <v>7095681.7620000551</v>
      </c>
      <c r="L67" s="32">
        <f t="shared" si="49"/>
        <v>226.21999999999994</v>
      </c>
      <c r="M67" s="6">
        <f t="shared" si="49"/>
        <v>8594182.8279158697</v>
      </c>
      <c r="N67" s="33">
        <f t="shared" si="50"/>
        <v>37990.375863831105</v>
      </c>
      <c r="O67" s="30">
        <v>0</v>
      </c>
      <c r="P67" s="33">
        <f t="shared" si="51"/>
        <v>0</v>
      </c>
      <c r="Q67" s="30">
        <v>0</v>
      </c>
      <c r="R67" s="34">
        <f t="shared" si="52"/>
        <v>0</v>
      </c>
      <c r="S67" s="35">
        <f t="shared" si="53"/>
        <v>0</v>
      </c>
      <c r="T67" s="36">
        <f t="shared" si="53"/>
        <v>0</v>
      </c>
      <c r="U67" s="2">
        <v>116.56999999999998</v>
      </c>
      <c r="V67" s="37">
        <v>6362729</v>
      </c>
      <c r="W67" s="30">
        <f t="shared" si="54"/>
        <v>109.64999999999996</v>
      </c>
      <c r="X67" s="6">
        <f t="shared" si="55"/>
        <v>4165644.7134690792</v>
      </c>
      <c r="Y67" s="4">
        <f t="shared" si="56"/>
        <v>1934190.8855532091</v>
      </c>
      <c r="Z67" s="5">
        <f t="shared" si="57"/>
        <v>0.30398762630833548</v>
      </c>
      <c r="AA67" s="5">
        <v>0.25890651827333128</v>
      </c>
      <c r="AB67" s="5">
        <f t="shared" si="59"/>
        <v>4.5081108035004203E-2</v>
      </c>
      <c r="AC67" s="65"/>
    </row>
    <row r="68" spans="1:29">
      <c r="A68" s="51" t="s">
        <v>78</v>
      </c>
      <c r="B68" s="30">
        <v>78.164999999999964</v>
      </c>
      <c r="C68" s="6">
        <v>3575473.919272522</v>
      </c>
      <c r="D68" s="30">
        <v>0</v>
      </c>
      <c r="E68" s="6">
        <v>0</v>
      </c>
      <c r="F68" s="30">
        <v>0</v>
      </c>
      <c r="G68" s="33">
        <v>0</v>
      </c>
      <c r="H68" s="31">
        <v>158.12000000000003</v>
      </c>
      <c r="I68" s="6">
        <v>6022339.585936008</v>
      </c>
      <c r="J68" s="2">
        <f t="shared" si="58"/>
        <v>158.12000000000003</v>
      </c>
      <c r="K68" s="3">
        <f t="shared" si="58"/>
        <v>6022339.585936008</v>
      </c>
      <c r="L68" s="32">
        <f t="shared" si="49"/>
        <v>236.285</v>
      </c>
      <c r="M68" s="6">
        <f t="shared" si="49"/>
        <v>9597813.5052085295</v>
      </c>
      <c r="N68" s="33">
        <f t="shared" si="50"/>
        <v>40619.647904896752</v>
      </c>
      <c r="O68" s="30">
        <v>0</v>
      </c>
      <c r="P68" s="33">
        <f t="shared" si="51"/>
        <v>0</v>
      </c>
      <c r="Q68" s="30">
        <v>0</v>
      </c>
      <c r="R68" s="34">
        <f t="shared" si="52"/>
        <v>0</v>
      </c>
      <c r="S68" s="35">
        <f t="shared" si="53"/>
        <v>0</v>
      </c>
      <c r="T68" s="36">
        <f t="shared" si="53"/>
        <v>0</v>
      </c>
      <c r="U68" s="2">
        <v>182.71999999999997</v>
      </c>
      <c r="V68" s="37">
        <v>10636457.5</v>
      </c>
      <c r="W68" s="30">
        <f t="shared" si="54"/>
        <v>53.565000000000026</v>
      </c>
      <c r="X68" s="6">
        <f t="shared" si="55"/>
        <v>2175791.4400257957</v>
      </c>
      <c r="Y68" s="4">
        <f t="shared" si="56"/>
        <v>3214435.4348172657</v>
      </c>
      <c r="Z68" s="5">
        <f t="shared" si="57"/>
        <v>0.302209211555376</v>
      </c>
      <c r="AA68" s="5">
        <v>0.27177882123695413</v>
      </c>
      <c r="AB68" s="5">
        <f t="shared" si="59"/>
        <v>3.0430390318421874E-2</v>
      </c>
      <c r="AC68" s="65"/>
    </row>
    <row r="69" spans="1:29">
      <c r="A69" s="51" t="s">
        <v>79</v>
      </c>
      <c r="B69" s="30">
        <v>29.65000000000002</v>
      </c>
      <c r="C69" s="6">
        <v>1598010.5251933681</v>
      </c>
      <c r="D69" s="30">
        <v>0</v>
      </c>
      <c r="E69" s="6">
        <v>0</v>
      </c>
      <c r="F69" s="30">
        <v>0</v>
      </c>
      <c r="G69" s="33">
        <v>0</v>
      </c>
      <c r="H69" s="31">
        <v>211.48000000000002</v>
      </c>
      <c r="I69" s="6">
        <v>10273347.124836709</v>
      </c>
      <c r="J69" s="2">
        <f t="shared" si="58"/>
        <v>211.48000000000002</v>
      </c>
      <c r="K69" s="3">
        <f t="shared" si="58"/>
        <v>10273347.124836709</v>
      </c>
      <c r="L69" s="32">
        <f t="shared" si="49"/>
        <v>241.13000000000005</v>
      </c>
      <c r="M69" s="6">
        <f t="shared" si="49"/>
        <v>11871357.650030077</v>
      </c>
      <c r="N69" s="33">
        <f t="shared" si="50"/>
        <v>49232.188653548183</v>
      </c>
      <c r="O69" s="30">
        <v>0</v>
      </c>
      <c r="P69" s="33">
        <f t="shared" si="51"/>
        <v>0</v>
      </c>
      <c r="Q69" s="30">
        <v>0</v>
      </c>
      <c r="R69" s="34">
        <f t="shared" si="52"/>
        <v>0</v>
      </c>
      <c r="S69" s="35">
        <f t="shared" si="53"/>
        <v>0</v>
      </c>
      <c r="T69" s="36">
        <f t="shared" si="53"/>
        <v>0</v>
      </c>
      <c r="U69" s="2">
        <v>186.30000000000004</v>
      </c>
      <c r="V69" s="37">
        <v>12473850.5</v>
      </c>
      <c r="W69" s="30">
        <f t="shared" si="54"/>
        <v>54.830000000000013</v>
      </c>
      <c r="X69" s="6">
        <f t="shared" si="55"/>
        <v>2699400.9038740476</v>
      </c>
      <c r="Y69" s="4">
        <f t="shared" si="56"/>
        <v>3301893.7538439706</v>
      </c>
      <c r="Z69" s="5">
        <f t="shared" si="57"/>
        <v>0.26470525310881116</v>
      </c>
      <c r="AA69" s="5">
        <v>0.25637599140233214</v>
      </c>
      <c r="AB69" s="5">
        <f t="shared" si="59"/>
        <v>8.3292617064790186E-3</v>
      </c>
      <c r="AC69" s="65"/>
    </row>
    <row r="70" spans="1:29">
      <c r="A70" s="51" t="s">
        <v>80</v>
      </c>
      <c r="B70" s="30">
        <v>6.23</v>
      </c>
      <c r="C70" s="6">
        <v>397007.87247144</v>
      </c>
      <c r="D70" s="30">
        <v>0</v>
      </c>
      <c r="E70" s="6">
        <v>0</v>
      </c>
      <c r="F70" s="30">
        <v>0</v>
      </c>
      <c r="G70" s="33">
        <v>0</v>
      </c>
      <c r="H70" s="31">
        <v>9.68</v>
      </c>
      <c r="I70" s="6">
        <v>565677.61397330801</v>
      </c>
      <c r="J70" s="2">
        <f t="shared" si="58"/>
        <v>9.68</v>
      </c>
      <c r="K70" s="3">
        <f t="shared" si="58"/>
        <v>565677.61397330801</v>
      </c>
      <c r="L70" s="32">
        <f t="shared" si="49"/>
        <v>15.91</v>
      </c>
      <c r="M70" s="6">
        <f t="shared" si="49"/>
        <v>962685.48644474801</v>
      </c>
      <c r="N70" s="33">
        <f t="shared" si="50"/>
        <v>60508.201536439221</v>
      </c>
      <c r="O70" s="30">
        <v>0</v>
      </c>
      <c r="P70" s="33">
        <f t="shared" si="51"/>
        <v>0</v>
      </c>
      <c r="Q70" s="30">
        <v>0</v>
      </c>
      <c r="R70" s="34">
        <f t="shared" si="52"/>
        <v>0</v>
      </c>
      <c r="S70" s="35">
        <f t="shared" si="53"/>
        <v>0</v>
      </c>
      <c r="T70" s="36">
        <f t="shared" si="53"/>
        <v>0</v>
      </c>
      <c r="U70" s="2">
        <v>15.909999999999993</v>
      </c>
      <c r="V70" s="37">
        <v>1200714.6000000001</v>
      </c>
      <c r="W70" s="33">
        <f>L70-U70-S70</f>
        <v>7.1054273576010019E-15</v>
      </c>
      <c r="X70" s="33">
        <f t="shared" si="55"/>
        <v>4.2993663055625021E-10</v>
      </c>
      <c r="Y70" s="4">
        <f t="shared" si="56"/>
        <v>238029.11355525255</v>
      </c>
      <c r="Z70" s="5">
        <f t="shared" si="57"/>
        <v>0.1982395429815316</v>
      </c>
      <c r="AA70" s="5">
        <v>0.27373235942575619</v>
      </c>
      <c r="AB70" s="5">
        <f t="shared" si="59"/>
        <v>-7.5492816444224592E-2</v>
      </c>
      <c r="AC70" s="65"/>
    </row>
    <row r="71" spans="1:29">
      <c r="A71" s="51" t="s">
        <v>81</v>
      </c>
      <c r="B71" s="30">
        <v>23.25</v>
      </c>
      <c r="C71" s="6">
        <v>1719807.1567668519</v>
      </c>
      <c r="D71" s="30">
        <v>0</v>
      </c>
      <c r="E71" s="6">
        <v>0</v>
      </c>
      <c r="F71" s="30">
        <v>0</v>
      </c>
      <c r="G71" s="33">
        <v>0</v>
      </c>
      <c r="H71" s="31">
        <v>37.769999999999996</v>
      </c>
      <c r="I71" s="6">
        <v>2783261.4055286832</v>
      </c>
      <c r="J71" s="2">
        <f t="shared" si="58"/>
        <v>37.769999999999996</v>
      </c>
      <c r="K71" s="3">
        <f t="shared" si="58"/>
        <v>2783261.4055286832</v>
      </c>
      <c r="L71" s="32">
        <f t="shared" si="49"/>
        <v>61.019999999999996</v>
      </c>
      <c r="M71" s="6">
        <f t="shared" si="49"/>
        <v>4503068.5622955356</v>
      </c>
      <c r="N71" s="33">
        <f t="shared" si="50"/>
        <v>73796.600496485349</v>
      </c>
      <c r="O71" s="30">
        <v>0</v>
      </c>
      <c r="P71" s="33">
        <f t="shared" si="51"/>
        <v>0</v>
      </c>
      <c r="Q71" s="30">
        <v>0</v>
      </c>
      <c r="R71" s="34">
        <f t="shared" si="52"/>
        <v>0</v>
      </c>
      <c r="S71" s="35">
        <f t="shared" si="53"/>
        <v>0</v>
      </c>
      <c r="T71" s="36">
        <f t="shared" si="53"/>
        <v>0</v>
      </c>
      <c r="U71" s="2">
        <v>40.36999999999999</v>
      </c>
      <c r="V71" s="37">
        <v>3468151.5</v>
      </c>
      <c r="W71" s="30">
        <f t="shared" si="54"/>
        <v>20.650000000000006</v>
      </c>
      <c r="X71" s="6">
        <f t="shared" si="55"/>
        <v>1523899.8002524229</v>
      </c>
      <c r="Y71" s="4">
        <f t="shared" si="56"/>
        <v>488982.73795688711</v>
      </c>
      <c r="Z71" s="5">
        <f t="shared" si="57"/>
        <v>0.14099232341980653</v>
      </c>
      <c r="AA71" s="5">
        <v>0.2635563058413054</v>
      </c>
      <c r="AB71" s="5">
        <f t="shared" si="59"/>
        <v>-0.12256398242149888</v>
      </c>
      <c r="AC71" s="65"/>
    </row>
    <row r="72" spans="1:29">
      <c r="A72" s="51" t="s">
        <v>82</v>
      </c>
      <c r="B72" s="30">
        <v>2.96</v>
      </c>
      <c r="C72" s="6">
        <v>210603.8868729044</v>
      </c>
      <c r="D72" s="30">
        <v>0</v>
      </c>
      <c r="E72" s="6">
        <v>0</v>
      </c>
      <c r="F72" s="30">
        <v>0</v>
      </c>
      <c r="G72" s="33">
        <v>0</v>
      </c>
      <c r="H72" s="31">
        <v>25.729999999999997</v>
      </c>
      <c r="I72" s="6">
        <v>2158876.3093256378</v>
      </c>
      <c r="J72" s="2">
        <f t="shared" si="58"/>
        <v>25.729999999999997</v>
      </c>
      <c r="K72" s="3">
        <f t="shared" si="58"/>
        <v>2158876.3093256378</v>
      </c>
      <c r="L72" s="32">
        <f t="shared" si="49"/>
        <v>28.689999999999998</v>
      </c>
      <c r="M72" s="6">
        <f t="shared" si="49"/>
        <v>2369480.1961985421</v>
      </c>
      <c r="N72" s="33">
        <f t="shared" si="50"/>
        <v>82589.062258575897</v>
      </c>
      <c r="O72" s="30">
        <v>0</v>
      </c>
      <c r="P72" s="33">
        <f t="shared" si="51"/>
        <v>0</v>
      </c>
      <c r="Q72" s="30">
        <v>0</v>
      </c>
      <c r="R72" s="34">
        <f t="shared" si="52"/>
        <v>0</v>
      </c>
      <c r="S72" s="35">
        <f t="shared" si="53"/>
        <v>0</v>
      </c>
      <c r="T72" s="36">
        <f t="shared" si="53"/>
        <v>0</v>
      </c>
      <c r="U72" s="2">
        <v>12.25</v>
      </c>
      <c r="V72" s="37">
        <v>1295676.608</v>
      </c>
      <c r="W72" s="30">
        <f t="shared" si="54"/>
        <v>16.439999999999998</v>
      </c>
      <c r="X72" s="6">
        <f t="shared" si="55"/>
        <v>1357764.1835309875</v>
      </c>
      <c r="Y72" s="4">
        <f t="shared" si="56"/>
        <v>283960.59533244511</v>
      </c>
      <c r="Z72" s="5">
        <f t="shared" si="57"/>
        <v>0.21916008483842683</v>
      </c>
      <c r="AA72" s="5">
        <v>0.33522630264448749</v>
      </c>
      <c r="AB72" s="5">
        <f t="shared" si="59"/>
        <v>-0.11606621780606066</v>
      </c>
      <c r="AC72" s="65"/>
    </row>
    <row r="73" spans="1:29">
      <c r="A73" s="51" t="s">
        <v>83</v>
      </c>
      <c r="B73" s="30">
        <v>12.34</v>
      </c>
      <c r="C73" s="6">
        <v>1203263.4536319855</v>
      </c>
      <c r="D73" s="30">
        <v>0</v>
      </c>
      <c r="E73" s="6">
        <v>0</v>
      </c>
      <c r="F73" s="30">
        <v>0</v>
      </c>
      <c r="G73" s="33">
        <v>0</v>
      </c>
      <c r="H73" s="31">
        <v>1.75</v>
      </c>
      <c r="I73" s="6">
        <v>166336.69221337338</v>
      </c>
      <c r="J73" s="2">
        <f t="shared" si="58"/>
        <v>1.75</v>
      </c>
      <c r="K73" s="3">
        <f t="shared" si="58"/>
        <v>166336.69221337338</v>
      </c>
      <c r="L73" s="32">
        <f t="shared" si="49"/>
        <v>14.09</v>
      </c>
      <c r="M73" s="6">
        <f t="shared" si="49"/>
        <v>1369600.1458453587</v>
      </c>
      <c r="N73" s="33">
        <f t="shared" si="50"/>
        <v>97203.700911664928</v>
      </c>
      <c r="O73" s="30">
        <v>0</v>
      </c>
      <c r="P73" s="33">
        <f t="shared" si="51"/>
        <v>0</v>
      </c>
      <c r="Q73" s="30">
        <v>0</v>
      </c>
      <c r="R73" s="34">
        <f t="shared" si="52"/>
        <v>0</v>
      </c>
      <c r="S73" s="35">
        <f t="shared" si="53"/>
        <v>0</v>
      </c>
      <c r="T73" s="36">
        <f t="shared" si="53"/>
        <v>0</v>
      </c>
      <c r="U73" s="2">
        <v>12.280000000000003</v>
      </c>
      <c r="V73" s="37">
        <v>1372567</v>
      </c>
      <c r="W73" s="30">
        <f t="shared" si="54"/>
        <v>1.8099999999999969</v>
      </c>
      <c r="X73" s="6">
        <f t="shared" si="55"/>
        <v>175938.69865011322</v>
      </c>
      <c r="Y73" s="4">
        <f t="shared" si="56"/>
        <v>178905.55280475458</v>
      </c>
      <c r="Z73" s="5">
        <f t="shared" si="57"/>
        <v>0.13034376668297765</v>
      </c>
      <c r="AA73" s="5">
        <v>0.23374265752617954</v>
      </c>
      <c r="AB73" s="5">
        <f t="shared" si="59"/>
        <v>-0.10339889084320189</v>
      </c>
      <c r="AC73" s="65"/>
    </row>
    <row r="74" spans="1:29">
      <c r="A74" s="51" t="s">
        <v>84</v>
      </c>
      <c r="B74" s="30">
        <v>5.03</v>
      </c>
      <c r="C74" s="6">
        <v>541331.04952612508</v>
      </c>
      <c r="D74" s="30">
        <v>0</v>
      </c>
      <c r="E74" s="6">
        <v>0</v>
      </c>
      <c r="F74" s="30">
        <v>0</v>
      </c>
      <c r="G74" s="33">
        <v>0</v>
      </c>
      <c r="H74" s="31">
        <v>16.149999999999999</v>
      </c>
      <c r="I74" s="6">
        <v>1699279.7882548519</v>
      </c>
      <c r="J74" s="2">
        <f t="shared" si="58"/>
        <v>16.149999999999999</v>
      </c>
      <c r="K74" s="3">
        <f t="shared" si="58"/>
        <v>1699279.7882548519</v>
      </c>
      <c r="L74" s="32">
        <f t="shared" si="49"/>
        <v>21.18</v>
      </c>
      <c r="M74" s="6">
        <f t="shared" si="49"/>
        <v>2240610.8377809771</v>
      </c>
      <c r="N74" s="33">
        <f t="shared" si="50"/>
        <v>105788.9913966467</v>
      </c>
      <c r="O74" s="30">
        <v>0</v>
      </c>
      <c r="P74" s="33">
        <f t="shared" si="51"/>
        <v>0</v>
      </c>
      <c r="Q74" s="30">
        <v>0</v>
      </c>
      <c r="R74" s="34">
        <f t="shared" si="52"/>
        <v>0</v>
      </c>
      <c r="S74" s="35">
        <f t="shared" si="53"/>
        <v>0</v>
      </c>
      <c r="T74" s="36">
        <f t="shared" si="53"/>
        <v>0</v>
      </c>
      <c r="U74" s="2">
        <v>15.45</v>
      </c>
      <c r="V74" s="37">
        <v>1844860</v>
      </c>
      <c r="W74" s="30">
        <f t="shared" si="54"/>
        <v>5.73</v>
      </c>
      <c r="X74" s="6">
        <f t="shared" si="55"/>
        <v>606170.9207027856</v>
      </c>
      <c r="Y74" s="4">
        <f t="shared" si="56"/>
        <v>210420.08292180859</v>
      </c>
      <c r="Z74" s="5">
        <f t="shared" si="57"/>
        <v>0.11405748020001984</v>
      </c>
      <c r="AA74" s="5">
        <v>0</v>
      </c>
      <c r="AB74" s="5">
        <f t="shared" si="59"/>
        <v>0.11405748020001984</v>
      </c>
      <c r="AC74" s="65"/>
    </row>
    <row r="75" spans="1:29">
      <c r="A75" s="51" t="s">
        <v>85</v>
      </c>
      <c r="B75" s="30">
        <v>4.04</v>
      </c>
      <c r="C75" s="6">
        <v>470179.7855031392</v>
      </c>
      <c r="D75" s="30">
        <v>0</v>
      </c>
      <c r="E75" s="6">
        <v>0</v>
      </c>
      <c r="F75" s="30">
        <v>0</v>
      </c>
      <c r="G75" s="33">
        <v>0</v>
      </c>
      <c r="H75" s="31">
        <v>0</v>
      </c>
      <c r="I75" s="6">
        <v>0</v>
      </c>
      <c r="J75" s="2">
        <f t="shared" si="58"/>
        <v>0</v>
      </c>
      <c r="K75" s="3">
        <f t="shared" si="58"/>
        <v>0</v>
      </c>
      <c r="L75" s="32">
        <f t="shared" si="49"/>
        <v>4.04</v>
      </c>
      <c r="M75" s="6">
        <f t="shared" si="49"/>
        <v>470179.7855031392</v>
      </c>
      <c r="N75" s="33">
        <f t="shared" si="50"/>
        <v>116381.1350255295</v>
      </c>
      <c r="O75" s="30">
        <v>0</v>
      </c>
      <c r="P75" s="33">
        <f t="shared" si="51"/>
        <v>0</v>
      </c>
      <c r="Q75" s="30">
        <v>0</v>
      </c>
      <c r="R75" s="34">
        <f t="shared" si="52"/>
        <v>0</v>
      </c>
      <c r="S75" s="35">
        <f t="shared" si="53"/>
        <v>0</v>
      </c>
      <c r="T75" s="36">
        <f t="shared" si="53"/>
        <v>0</v>
      </c>
      <c r="U75" s="2">
        <v>4.04</v>
      </c>
      <c r="V75" s="37">
        <v>593590</v>
      </c>
      <c r="W75" s="30">
        <f t="shared" si="54"/>
        <v>0</v>
      </c>
      <c r="X75" s="6">
        <f t="shared" si="55"/>
        <v>0</v>
      </c>
      <c r="Y75" s="4">
        <f t="shared" si="56"/>
        <v>123410.2144968608</v>
      </c>
      <c r="Z75" s="5">
        <f t="shared" si="57"/>
        <v>0.2079048071848596</v>
      </c>
      <c r="AA75" s="5">
        <v>0.28330574097344308</v>
      </c>
      <c r="AB75" s="5">
        <f t="shared" si="59"/>
        <v>-7.540093378858348E-2</v>
      </c>
      <c r="AC75" s="65"/>
    </row>
    <row r="76" spans="1:29">
      <c r="A76" s="51" t="s">
        <v>86</v>
      </c>
      <c r="B76" s="30">
        <v>7.0000000000000007E-2</v>
      </c>
      <c r="C76" s="6">
        <v>8794.9558140055906</v>
      </c>
      <c r="D76" s="30">
        <v>0</v>
      </c>
      <c r="E76" s="6">
        <v>0</v>
      </c>
      <c r="F76" s="30">
        <v>0</v>
      </c>
      <c r="G76" s="33">
        <v>0</v>
      </c>
      <c r="H76" s="31">
        <v>0</v>
      </c>
      <c r="I76" s="6">
        <v>0</v>
      </c>
      <c r="J76" s="2">
        <f t="shared" si="58"/>
        <v>0</v>
      </c>
      <c r="K76" s="3">
        <f t="shared" si="58"/>
        <v>0</v>
      </c>
      <c r="L76" s="32">
        <f t="shared" si="49"/>
        <v>7.0000000000000007E-2</v>
      </c>
      <c r="M76" s="6">
        <f t="shared" si="49"/>
        <v>8794.9558140055906</v>
      </c>
      <c r="N76" s="33">
        <f t="shared" si="50"/>
        <v>125642.22591436557</v>
      </c>
      <c r="O76" s="30">
        <v>0</v>
      </c>
      <c r="P76" s="33">
        <f t="shared" si="51"/>
        <v>0</v>
      </c>
      <c r="Q76" s="30">
        <v>0</v>
      </c>
      <c r="R76" s="34">
        <f t="shared" si="52"/>
        <v>0</v>
      </c>
      <c r="S76" s="35">
        <f t="shared" si="53"/>
        <v>0</v>
      </c>
      <c r="T76" s="36">
        <f t="shared" si="53"/>
        <v>0</v>
      </c>
      <c r="U76" s="2">
        <v>7.0000000000000007E-2</v>
      </c>
      <c r="V76" s="37">
        <v>10080</v>
      </c>
      <c r="W76" s="30">
        <f t="shared" si="54"/>
        <v>0</v>
      </c>
      <c r="X76" s="6">
        <f t="shared" si="55"/>
        <v>0</v>
      </c>
      <c r="Y76" s="4">
        <f t="shared" si="56"/>
        <v>1285.0441859944094</v>
      </c>
      <c r="Z76" s="5">
        <f t="shared" si="57"/>
        <v>0.12748454226135014</v>
      </c>
      <c r="AA76" s="5">
        <v>0</v>
      </c>
      <c r="AB76" s="5">
        <f t="shared" si="59"/>
        <v>0.12748454226135014</v>
      </c>
      <c r="AC76" s="65"/>
    </row>
    <row r="77" spans="1:29">
      <c r="A77" s="51" t="s">
        <v>87</v>
      </c>
      <c r="B77" s="30">
        <v>0.16</v>
      </c>
      <c r="C77" s="6">
        <v>38354.755460771303</v>
      </c>
      <c r="D77" s="30">
        <v>0</v>
      </c>
      <c r="E77" s="6">
        <v>0</v>
      </c>
      <c r="F77" s="30">
        <v>0</v>
      </c>
      <c r="G77" s="33">
        <v>0</v>
      </c>
      <c r="H77" s="31">
        <v>0</v>
      </c>
      <c r="I77" s="6">
        <v>0</v>
      </c>
      <c r="J77" s="2">
        <f t="shared" si="58"/>
        <v>0</v>
      </c>
      <c r="K77" s="3">
        <f t="shared" si="58"/>
        <v>0</v>
      </c>
      <c r="L77" s="32">
        <f t="shared" si="49"/>
        <v>0.16</v>
      </c>
      <c r="M77" s="6">
        <f t="shared" si="49"/>
        <v>38354.755460771303</v>
      </c>
      <c r="N77" s="33">
        <f t="shared" si="50"/>
        <v>239717.22162982065</v>
      </c>
      <c r="O77" s="30">
        <v>0</v>
      </c>
      <c r="P77" s="33">
        <f t="shared" si="51"/>
        <v>0</v>
      </c>
      <c r="Q77" s="30">
        <v>0</v>
      </c>
      <c r="R77" s="34">
        <f t="shared" si="52"/>
        <v>0</v>
      </c>
      <c r="S77" s="35">
        <f t="shared" si="53"/>
        <v>0</v>
      </c>
      <c r="T77" s="36">
        <f t="shared" si="53"/>
        <v>0</v>
      </c>
      <c r="U77" s="2">
        <v>0.16</v>
      </c>
      <c r="V77" s="37">
        <v>38000</v>
      </c>
      <c r="W77" s="30">
        <f t="shared" si="54"/>
        <v>0</v>
      </c>
      <c r="X77" s="6">
        <f t="shared" si="55"/>
        <v>0</v>
      </c>
      <c r="Y77" s="4">
        <f t="shared" si="56"/>
        <v>-354.75546077130275</v>
      </c>
      <c r="Z77" s="5">
        <f t="shared" si="57"/>
        <v>0</v>
      </c>
      <c r="AA77" s="5">
        <v>0.10598854638126366</v>
      </c>
      <c r="AB77" s="5">
        <f t="shared" si="59"/>
        <v>-0.10598854638126366</v>
      </c>
      <c r="AC77" s="65"/>
    </row>
    <row r="78" spans="1:29">
      <c r="A78" s="51" t="s">
        <v>88</v>
      </c>
      <c r="B78" s="30">
        <v>0.36</v>
      </c>
      <c r="C78" s="6">
        <v>101802.65550067324</v>
      </c>
      <c r="D78" s="30">
        <v>0</v>
      </c>
      <c r="E78" s="6">
        <v>0</v>
      </c>
      <c r="F78" s="30">
        <v>0</v>
      </c>
      <c r="G78" s="33">
        <v>0</v>
      </c>
      <c r="H78" s="31">
        <v>0</v>
      </c>
      <c r="I78" s="6">
        <v>0</v>
      </c>
      <c r="J78" s="2">
        <f t="shared" ref="J78:K85" si="60">+F78+H78</f>
        <v>0</v>
      </c>
      <c r="K78" s="3">
        <f t="shared" si="60"/>
        <v>0</v>
      </c>
      <c r="L78" s="32">
        <f t="shared" si="49"/>
        <v>0.36</v>
      </c>
      <c r="M78" s="6">
        <f t="shared" si="49"/>
        <v>101802.65550067324</v>
      </c>
      <c r="N78" s="33">
        <f t="shared" si="50"/>
        <v>282785.15416853677</v>
      </c>
      <c r="O78" s="30">
        <v>0</v>
      </c>
      <c r="P78" s="33">
        <f t="shared" si="51"/>
        <v>0</v>
      </c>
      <c r="Q78" s="30">
        <v>0</v>
      </c>
      <c r="R78" s="34">
        <f t="shared" si="52"/>
        <v>0</v>
      </c>
      <c r="S78" s="35">
        <f t="shared" si="53"/>
        <v>0</v>
      </c>
      <c r="T78" s="36">
        <f t="shared" si="53"/>
        <v>0</v>
      </c>
      <c r="U78" s="2">
        <v>0.36</v>
      </c>
      <c r="V78" s="37">
        <v>99000</v>
      </c>
      <c r="W78" s="30">
        <f t="shared" si="54"/>
        <v>0</v>
      </c>
      <c r="X78" s="6">
        <f t="shared" si="55"/>
        <v>0</v>
      </c>
      <c r="Y78" s="4">
        <f t="shared" si="56"/>
        <v>-2802.6555006732378</v>
      </c>
      <c r="Z78" s="5">
        <f t="shared" si="57"/>
        <v>0</v>
      </c>
      <c r="AA78" s="5">
        <v>2.0827028502296809E-2</v>
      </c>
      <c r="AB78" s="5">
        <f t="shared" si="59"/>
        <v>-2.0827028502296809E-2</v>
      </c>
      <c r="AC78" s="65"/>
    </row>
    <row r="79" spans="1:29">
      <c r="A79" s="51" t="s">
        <v>89</v>
      </c>
      <c r="B79" s="30">
        <v>0</v>
      </c>
      <c r="C79" s="6">
        <v>0</v>
      </c>
      <c r="D79" s="30">
        <v>0</v>
      </c>
      <c r="E79" s="6">
        <v>0</v>
      </c>
      <c r="F79" s="30">
        <v>0</v>
      </c>
      <c r="G79" s="33">
        <v>0</v>
      </c>
      <c r="H79" s="31">
        <v>11.3</v>
      </c>
      <c r="I79" s="6">
        <v>7801996.7092520799</v>
      </c>
      <c r="J79" s="2">
        <f t="shared" si="60"/>
        <v>11.3</v>
      </c>
      <c r="K79" s="3">
        <f t="shared" si="60"/>
        <v>7801996.7092520799</v>
      </c>
      <c r="L79" s="32">
        <f t="shared" ref="L79:M79" si="61">B79+D79+J79</f>
        <v>11.3</v>
      </c>
      <c r="M79" s="6">
        <f t="shared" si="61"/>
        <v>7801996.7092520799</v>
      </c>
      <c r="N79" s="33">
        <f t="shared" si="50"/>
        <v>690442.18665947602</v>
      </c>
      <c r="O79" s="30">
        <v>0</v>
      </c>
      <c r="P79" s="33">
        <f t="shared" si="51"/>
        <v>0</v>
      </c>
      <c r="Q79" s="30">
        <v>0</v>
      </c>
      <c r="R79" s="34">
        <f t="shared" si="52"/>
        <v>0</v>
      </c>
      <c r="S79" s="35">
        <f t="shared" ref="S79:T79" si="62">+O79+Q79</f>
        <v>0</v>
      </c>
      <c r="T79" s="36">
        <f t="shared" si="62"/>
        <v>0</v>
      </c>
      <c r="U79" s="2">
        <v>11.3</v>
      </c>
      <c r="V79" s="37">
        <v>5958282</v>
      </c>
      <c r="W79" s="30">
        <f t="shared" si="54"/>
        <v>0</v>
      </c>
      <c r="X79" s="6">
        <f t="shared" si="55"/>
        <v>0</v>
      </c>
      <c r="Y79" s="4">
        <f t="shared" si="56"/>
        <v>-1843714.7092520799</v>
      </c>
      <c r="Z79" s="5">
        <f t="shared" si="57"/>
        <v>0</v>
      </c>
      <c r="AA79" s="5">
        <v>2.0827028502296809E-2</v>
      </c>
      <c r="AB79" s="5">
        <f t="shared" si="59"/>
        <v>-2.0827028502296809E-2</v>
      </c>
      <c r="AC79" s="65"/>
    </row>
    <row r="80" spans="1:29">
      <c r="A80" s="51"/>
      <c r="B80" s="30"/>
      <c r="C80" s="6"/>
      <c r="D80" s="30"/>
      <c r="E80" s="34"/>
      <c r="F80" s="34"/>
      <c r="G80" s="34"/>
      <c r="H80" s="34"/>
      <c r="I80" s="34"/>
      <c r="J80" s="49"/>
      <c r="K80" s="34"/>
      <c r="L80" s="32"/>
      <c r="M80" s="34"/>
      <c r="N80" s="48"/>
      <c r="O80" s="49"/>
      <c r="P80" s="48"/>
      <c r="Q80" s="49"/>
      <c r="R80" s="48"/>
      <c r="S80" s="49"/>
      <c r="T80" s="34"/>
      <c r="U80" s="30"/>
      <c r="V80" s="34"/>
      <c r="W80" s="30"/>
      <c r="X80" s="34"/>
      <c r="AC80" s="65"/>
    </row>
    <row r="81" spans="1:31" ht="14.4" thickBot="1">
      <c r="A81" s="21" t="s">
        <v>38</v>
      </c>
      <c r="B81" s="66">
        <f>SUM(B61:B80)</f>
        <v>5102.5149999999985</v>
      </c>
      <c r="C81" s="67">
        <f>SUM(C61:C80)</f>
        <v>156010963.54304796</v>
      </c>
      <c r="D81" s="66">
        <f t="shared" ref="D81:M81" si="63">SUM(D61:D80)</f>
        <v>0</v>
      </c>
      <c r="E81" s="67">
        <f t="shared" si="63"/>
        <v>0</v>
      </c>
      <c r="F81" s="66">
        <f t="shared" si="63"/>
        <v>0</v>
      </c>
      <c r="G81" s="67">
        <f t="shared" si="63"/>
        <v>0</v>
      </c>
      <c r="H81" s="66">
        <f t="shared" si="63"/>
        <v>3083.920000000001</v>
      </c>
      <c r="I81" s="67">
        <f t="shared" si="63"/>
        <v>94341222.932311565</v>
      </c>
      <c r="J81" s="66">
        <f t="shared" si="63"/>
        <v>3083.920000000001</v>
      </c>
      <c r="K81" s="67">
        <f t="shared" si="63"/>
        <v>94341222.932311565</v>
      </c>
      <c r="L81" s="66">
        <f t="shared" si="63"/>
        <v>8186.4350000000013</v>
      </c>
      <c r="M81" s="67">
        <f t="shared" si="63"/>
        <v>250352186.4753595</v>
      </c>
      <c r="N81" s="68"/>
      <c r="O81" s="66">
        <f t="shared" ref="O81:Y81" si="64">SUM(O61:O80)</f>
        <v>0</v>
      </c>
      <c r="P81" s="67">
        <f t="shared" si="64"/>
        <v>0</v>
      </c>
      <c r="Q81" s="66">
        <f t="shared" si="64"/>
        <v>0</v>
      </c>
      <c r="R81" s="67">
        <f t="shared" si="64"/>
        <v>0</v>
      </c>
      <c r="S81" s="66">
        <f t="shared" si="64"/>
        <v>0</v>
      </c>
      <c r="T81" s="67">
        <f t="shared" si="64"/>
        <v>0</v>
      </c>
      <c r="U81" s="66">
        <f t="shared" si="64"/>
        <v>1992.0349999999983</v>
      </c>
      <c r="V81" s="67">
        <f t="shared" si="64"/>
        <v>80532201.434999987</v>
      </c>
      <c r="W81" s="66">
        <f t="shared" si="64"/>
        <v>6194.4000000000005</v>
      </c>
      <c r="X81" s="67">
        <f>SUM(X61:X80)</f>
        <v>181767471.8390649</v>
      </c>
      <c r="Y81" s="67">
        <f t="shared" si="64"/>
        <v>11947486.798705405</v>
      </c>
      <c r="Z81" s="42">
        <f>IF(Y81&gt;0,(Y81/V81),0)</f>
        <v>0.1483566397765568</v>
      </c>
      <c r="AA81" s="42">
        <v>0.19883839185525246</v>
      </c>
      <c r="AB81" s="42">
        <f t="shared" ref="AB81" si="65">Z81-AA81</f>
        <v>-5.0481752078695652E-2</v>
      </c>
      <c r="AC81" s="65"/>
    </row>
    <row r="82" spans="1:31" ht="14.4" thickTop="1">
      <c r="A82" s="21"/>
      <c r="B82" s="69"/>
      <c r="C82" s="47"/>
      <c r="D82" s="69"/>
      <c r="E82" s="47"/>
      <c r="F82" s="47"/>
      <c r="G82" s="47"/>
      <c r="H82" s="47"/>
      <c r="I82" s="47"/>
      <c r="J82" s="70"/>
      <c r="K82" s="47"/>
      <c r="L82" s="71"/>
      <c r="M82" s="47"/>
      <c r="N82" s="68"/>
      <c r="O82" s="70"/>
      <c r="P82" s="68"/>
      <c r="Q82" s="70"/>
      <c r="R82" s="68"/>
      <c r="S82" s="70"/>
      <c r="T82" s="47"/>
      <c r="U82" s="69"/>
      <c r="V82" s="47"/>
      <c r="W82" s="69"/>
      <c r="X82" s="47"/>
    </row>
    <row r="83" spans="1:31" ht="14.4" thickBot="1">
      <c r="B83" s="49"/>
      <c r="C83" s="34"/>
      <c r="D83" s="49"/>
      <c r="E83" s="34"/>
      <c r="F83" s="34"/>
      <c r="G83" s="34"/>
      <c r="H83" s="34"/>
      <c r="I83" s="34"/>
      <c r="J83" s="49"/>
      <c r="K83" s="34"/>
      <c r="L83" s="32"/>
      <c r="M83" s="34"/>
      <c r="N83" s="48"/>
      <c r="O83" s="49"/>
      <c r="P83" s="48"/>
      <c r="Q83" s="49"/>
      <c r="R83" s="48"/>
      <c r="S83" s="49"/>
      <c r="T83" s="34"/>
      <c r="U83" s="49"/>
      <c r="V83" s="34"/>
      <c r="W83" s="49"/>
      <c r="X83" s="34"/>
      <c r="Y83" s="48"/>
      <c r="Z83" s="60"/>
      <c r="AA83" s="61"/>
      <c r="AB83" s="60"/>
      <c r="AC83" s="52"/>
      <c r="AD83" s="53"/>
      <c r="AE83" s="52"/>
    </row>
    <row r="84" spans="1:31">
      <c r="A84" s="72" t="s">
        <v>90</v>
      </c>
      <c r="B84" s="73">
        <f t="shared" ref="B84:M84" si="66">+B50+B32+B26+B10+B81</f>
        <v>7105.4599999999991</v>
      </c>
      <c r="C84" s="74">
        <f t="shared" si="66"/>
        <v>171504490.48357975</v>
      </c>
      <c r="D84" s="73">
        <f t="shared" si="66"/>
        <v>0</v>
      </c>
      <c r="E84" s="74">
        <f t="shared" si="66"/>
        <v>0</v>
      </c>
      <c r="F84" s="73">
        <f t="shared" si="66"/>
        <v>0</v>
      </c>
      <c r="G84" s="74">
        <f t="shared" si="66"/>
        <v>0</v>
      </c>
      <c r="H84" s="73">
        <f t="shared" si="66"/>
        <v>3405.9900000000011</v>
      </c>
      <c r="I84" s="74">
        <f t="shared" si="66"/>
        <v>100586140.89021093</v>
      </c>
      <c r="J84" s="73">
        <f t="shared" si="66"/>
        <v>3405.9900000000011</v>
      </c>
      <c r="K84" s="74">
        <f t="shared" si="66"/>
        <v>100586140.89021093</v>
      </c>
      <c r="L84" s="73">
        <f t="shared" si="66"/>
        <v>10511.45</v>
      </c>
      <c r="M84" s="74">
        <f t="shared" si="66"/>
        <v>272090631.37379068</v>
      </c>
      <c r="N84" s="73"/>
      <c r="O84" s="73">
        <f t="shared" ref="O84:Y84" si="67">+O50+O32+O26+O10+O81</f>
        <v>0</v>
      </c>
      <c r="P84" s="74">
        <f t="shared" si="67"/>
        <v>0</v>
      </c>
      <c r="Q84" s="73">
        <f t="shared" si="67"/>
        <v>588.73000000000025</v>
      </c>
      <c r="R84" s="74">
        <f t="shared" si="67"/>
        <v>2476624.6203688942</v>
      </c>
      <c r="S84" s="73">
        <f t="shared" si="67"/>
        <v>588.73000000000025</v>
      </c>
      <c r="T84" s="74">
        <f t="shared" si="67"/>
        <v>2476624.6203688942</v>
      </c>
      <c r="U84" s="73">
        <f t="shared" si="67"/>
        <v>2541.5249999999983</v>
      </c>
      <c r="V84" s="74">
        <f t="shared" si="67"/>
        <v>88687789.555999994</v>
      </c>
      <c r="W84" s="73">
        <f t="shared" si="67"/>
        <v>7381.1949999999997</v>
      </c>
      <c r="X84" s="74">
        <f t="shared" si="67"/>
        <v>194474851.16511458</v>
      </c>
      <c r="Y84" s="74">
        <f t="shared" si="67"/>
        <v>13548633.967692817</v>
      </c>
      <c r="Z84" s="5">
        <f t="shared" ref="Z84" si="68">IF(Y84&gt;0,(Y84/V84),0)</f>
        <v>0.1527677489259987</v>
      </c>
      <c r="AA84" s="5">
        <v>0.16528508612716236</v>
      </c>
      <c r="AB84" s="5">
        <f t="shared" ref="AB84" si="69">Z84-AA84</f>
        <v>-1.2517337201163659E-2</v>
      </c>
    </row>
  </sheetData>
  <mergeCells count="27">
    <mergeCell ref="AB57:AB58"/>
    <mergeCell ref="O57:P57"/>
    <mergeCell ref="Q57:R57"/>
    <mergeCell ref="S57:T57"/>
    <mergeCell ref="U57:V57"/>
    <mergeCell ref="W57:X57"/>
    <mergeCell ref="AA57:AA58"/>
    <mergeCell ref="U5:V5"/>
    <mergeCell ref="W5:X5"/>
    <mergeCell ref="AA5:AA6"/>
    <mergeCell ref="AB5:AB6"/>
    <mergeCell ref="B57:C57"/>
    <mergeCell ref="D57:E57"/>
    <mergeCell ref="F57:G57"/>
    <mergeCell ref="H57:I57"/>
    <mergeCell ref="J57:K57"/>
    <mergeCell ref="L57:M57"/>
    <mergeCell ref="A4:Y4"/>
    <mergeCell ref="B5:C5"/>
    <mergeCell ref="D5:E5"/>
    <mergeCell ref="F5:G5"/>
    <mergeCell ref="H5:I5"/>
    <mergeCell ref="J5:K5"/>
    <mergeCell ref="L5:M5"/>
    <mergeCell ref="O5:P5"/>
    <mergeCell ref="Q5:R5"/>
    <mergeCell ref="S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A4A0-CBD6-43A5-BB0B-550EB9EEFB41}">
  <dimension ref="A1:AD64"/>
  <sheetViews>
    <sheetView workbookViewId="0">
      <selection sqref="A1:XFD1048576"/>
    </sheetView>
  </sheetViews>
  <sheetFormatPr defaultColWidth="8.6640625" defaultRowHeight="13.8"/>
  <cols>
    <col min="1" max="1" width="13.6640625" style="75" customWidth="1"/>
    <col min="2" max="2" width="12.6640625" style="2" bestFit="1" customWidth="1"/>
    <col min="3" max="3" width="11.6640625" style="3" bestFit="1" customWidth="1"/>
    <col min="4" max="4" width="8.44140625" style="76" customWidth="1"/>
    <col min="5" max="5" width="9.44140625" style="3" customWidth="1"/>
    <col min="6" max="6" width="12.33203125" style="3" hidden="1" customWidth="1"/>
    <col min="7" max="7" width="8.6640625" style="3" hidden="1" customWidth="1"/>
    <col min="8" max="9" width="12.33203125" style="3" customWidth="1"/>
    <col min="10" max="10" width="12.44140625" style="77" hidden="1" customWidth="1"/>
    <col min="11" max="11" width="11.33203125" style="77" hidden="1" customWidth="1"/>
    <col min="12" max="12" width="12.6640625" style="76" bestFit="1" customWidth="1"/>
    <col min="13" max="13" width="13.33203125" style="3" customWidth="1"/>
    <col min="14" max="14" width="11.5546875" style="1" customWidth="1"/>
    <col min="15" max="15" width="9.44140625" style="1" hidden="1" customWidth="1"/>
    <col min="16" max="16" width="8.44140625" style="1" hidden="1" customWidth="1"/>
    <col min="17" max="17" width="11.5546875" style="1" customWidth="1"/>
    <col min="18" max="18" width="11.6640625" style="1" bestFit="1" customWidth="1"/>
    <col min="19" max="20" width="11.6640625" style="1" hidden="1" customWidth="1"/>
    <col min="21" max="21" width="11.6640625" style="76" bestFit="1" customWidth="1"/>
    <col min="22" max="22" width="11.6640625" style="3" bestFit="1" customWidth="1"/>
    <col min="23" max="23" width="12.6640625" style="76" bestFit="1" customWidth="1"/>
    <col min="24" max="24" width="14.5546875" style="3" bestFit="1" customWidth="1"/>
    <col min="25" max="25" width="10.33203125" style="4" bestFit="1" customWidth="1"/>
    <col min="26" max="26" width="8.6640625" style="5"/>
    <col min="27" max="27" width="11.33203125" style="1" bestFit="1" customWidth="1"/>
    <col min="28" max="29" width="8.6640625" style="1"/>
    <col min="30" max="30" width="11.33203125" style="1" bestFit="1" customWidth="1"/>
    <col min="31" max="16384" width="8.6640625" style="1"/>
  </cols>
  <sheetData>
    <row r="1" spans="1:28">
      <c r="A1" s="75" t="str">
        <f>+[1]Dia!A1</f>
        <v>Shree Jewellers Eximp Private Limited</v>
      </c>
    </row>
    <row r="2" spans="1:28">
      <c r="A2" s="75" t="str">
        <f>+[1]Dia!A2</f>
        <v>3-6-354/1,2 &amp;18 Basheerbagh Branch</v>
      </c>
      <c r="X2" s="3" t="str">
        <f>[1]Dia!X2</f>
        <v>AY 2026-2027</v>
      </c>
    </row>
    <row r="3" spans="1:28">
      <c r="A3" s="75" t="str">
        <f>+[1]Dia!A3</f>
        <v>Hyderabad - 500029</v>
      </c>
    </row>
    <row r="4" spans="1:28">
      <c r="A4" s="75" t="str">
        <f>+[1]Trading!A4</f>
        <v>CIN:U51398TG1997PTC026740</v>
      </c>
    </row>
    <row r="5" spans="1:28">
      <c r="A5" s="8" t="s">
        <v>91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8" s="21" customFormat="1" ht="27.6" customHeight="1">
      <c r="A6" s="9" t="s">
        <v>1</v>
      </c>
      <c r="B6" s="10" t="s">
        <v>2</v>
      </c>
      <c r="C6" s="10"/>
      <c r="D6" s="10" t="s">
        <v>3</v>
      </c>
      <c r="E6" s="10"/>
      <c r="F6" s="11" t="s">
        <v>4</v>
      </c>
      <c r="G6" s="12"/>
      <c r="H6" s="11" t="s">
        <v>5</v>
      </c>
      <c r="I6" s="12"/>
      <c r="J6" s="10" t="s">
        <v>6</v>
      </c>
      <c r="K6" s="10"/>
      <c r="L6" s="10" t="s">
        <v>7</v>
      </c>
      <c r="M6" s="10"/>
      <c r="N6" s="13" t="s">
        <v>8</v>
      </c>
      <c r="O6" s="11" t="s">
        <v>9</v>
      </c>
      <c r="P6" s="12"/>
      <c r="Q6" s="11" t="s">
        <v>10</v>
      </c>
      <c r="R6" s="12"/>
      <c r="S6" s="78" t="s">
        <v>11</v>
      </c>
      <c r="T6" s="78"/>
      <c r="U6" s="79" t="s">
        <v>12</v>
      </c>
      <c r="V6" s="79"/>
      <c r="W6" s="10" t="s">
        <v>13</v>
      </c>
      <c r="X6" s="10"/>
      <c r="Y6" s="22" t="s">
        <v>14</v>
      </c>
      <c r="Z6" s="19"/>
      <c r="AA6" s="20" t="str">
        <f>+[1]Dia!AA5</f>
        <v>GP AY 2025-26</v>
      </c>
      <c r="AB6" s="20" t="s">
        <v>16</v>
      </c>
    </row>
    <row r="7" spans="1:28" s="21" customFormat="1" ht="27.6">
      <c r="A7" s="22">
        <v>1</v>
      </c>
      <c r="B7" s="23" t="s">
        <v>17</v>
      </c>
      <c r="C7" s="24" t="s">
        <v>18</v>
      </c>
      <c r="D7" s="23" t="s">
        <v>19</v>
      </c>
      <c r="E7" s="24" t="s">
        <v>20</v>
      </c>
      <c r="F7" s="23" t="s">
        <v>21</v>
      </c>
      <c r="G7" s="24" t="s">
        <v>22</v>
      </c>
      <c r="H7" s="23" t="s">
        <v>21</v>
      </c>
      <c r="I7" s="24" t="s">
        <v>22</v>
      </c>
      <c r="J7" s="23" t="s">
        <v>23</v>
      </c>
      <c r="K7" s="24" t="s">
        <v>24</v>
      </c>
      <c r="L7" s="25" t="s">
        <v>25</v>
      </c>
      <c r="M7" s="24" t="s">
        <v>26</v>
      </c>
      <c r="N7" s="13" t="s">
        <v>27</v>
      </c>
      <c r="O7" s="23" t="s">
        <v>21</v>
      </c>
      <c r="P7" s="24" t="s">
        <v>22</v>
      </c>
      <c r="Q7" s="23" t="s">
        <v>21</v>
      </c>
      <c r="R7" s="24" t="s">
        <v>22</v>
      </c>
      <c r="S7" s="23" t="s">
        <v>28</v>
      </c>
      <c r="T7" s="24" t="s">
        <v>29</v>
      </c>
      <c r="U7" s="23" t="s">
        <v>30</v>
      </c>
      <c r="V7" s="24" t="s">
        <v>31</v>
      </c>
      <c r="W7" s="23" t="s">
        <v>32</v>
      </c>
      <c r="X7" s="24" t="s">
        <v>33</v>
      </c>
      <c r="Y7" s="24" t="s">
        <v>34</v>
      </c>
      <c r="Z7" s="80" t="s">
        <v>35</v>
      </c>
      <c r="AA7" s="27"/>
      <c r="AB7" s="27"/>
    </row>
    <row r="8" spans="1:28">
      <c r="A8" s="81" t="s">
        <v>92</v>
      </c>
      <c r="B8" s="30"/>
      <c r="C8" s="34"/>
      <c r="D8" s="82"/>
      <c r="E8" s="34"/>
      <c r="F8" s="34"/>
      <c r="G8" s="34"/>
      <c r="H8" s="34"/>
      <c r="I8" s="34"/>
      <c r="J8" s="48"/>
      <c r="K8" s="48"/>
      <c r="L8" s="82"/>
      <c r="M8" s="34"/>
      <c r="N8" s="48"/>
      <c r="O8" s="48"/>
      <c r="P8" s="48"/>
      <c r="Q8" s="48"/>
      <c r="R8" s="48"/>
      <c r="S8" s="48"/>
      <c r="T8" s="48"/>
      <c r="U8" s="82"/>
      <c r="V8" s="34"/>
      <c r="W8" s="82"/>
      <c r="X8" s="34"/>
    </row>
    <row r="9" spans="1:28">
      <c r="A9" s="81"/>
      <c r="B9" s="30"/>
      <c r="C9" s="34"/>
      <c r="D9" s="82"/>
      <c r="E9" s="34"/>
      <c r="F9" s="34"/>
      <c r="G9" s="34"/>
      <c r="H9" s="34"/>
      <c r="I9" s="34"/>
      <c r="J9" s="48"/>
      <c r="K9" s="48"/>
      <c r="L9" s="82"/>
      <c r="M9" s="34"/>
      <c r="N9" s="48"/>
      <c r="O9" s="48"/>
      <c r="P9" s="48"/>
      <c r="Q9" s="48"/>
      <c r="R9" s="48"/>
      <c r="S9" s="48"/>
      <c r="T9" s="48"/>
      <c r="U9" s="82"/>
      <c r="V9" s="34"/>
      <c r="W9" s="82"/>
      <c r="X9" s="34"/>
    </row>
    <row r="10" spans="1:28">
      <c r="A10" s="75" t="s">
        <v>93</v>
      </c>
      <c r="B10" s="30">
        <f>3244.38+674.89+2791.85</f>
        <v>6711.12</v>
      </c>
      <c r="C10" s="34">
        <f>207459.143239687+54693.5719909906+132578.911152056</f>
        <v>394731.62638273358</v>
      </c>
      <c r="D10" s="82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76">
        <f t="shared" ref="J10:K60" si="0">+F10+H10</f>
        <v>0</v>
      </c>
      <c r="K10" s="77">
        <f>+G10+I10</f>
        <v>0</v>
      </c>
      <c r="L10" s="82">
        <f>+B10+D10+J10</f>
        <v>6711.12</v>
      </c>
      <c r="M10" s="6">
        <f>+C10+E10+K10</f>
        <v>394731.62638273358</v>
      </c>
      <c r="N10" s="48">
        <f>M10/L10</f>
        <v>58.817548543720513</v>
      </c>
      <c r="O10" s="48">
        <v>0</v>
      </c>
      <c r="P10" s="48">
        <f>+O10*N10</f>
        <v>0</v>
      </c>
      <c r="Q10" s="30">
        <v>3965.7900000000004</v>
      </c>
      <c r="R10" s="34">
        <f>+Q10*N10</f>
        <v>233258.0458392014</v>
      </c>
      <c r="S10" s="65">
        <f>+O10+Q10</f>
        <v>3965.7900000000004</v>
      </c>
      <c r="T10" s="64">
        <f>+P10+R10</f>
        <v>233258.0458392014</v>
      </c>
      <c r="U10" s="30">
        <f>6.9+1561.57</f>
        <v>1568.47</v>
      </c>
      <c r="V10" s="34">
        <f>156157+1000.02</f>
        <v>157157.01999999999</v>
      </c>
      <c r="W10" s="30">
        <f>L10-U10-S10</f>
        <v>1176.8599999999992</v>
      </c>
      <c r="X10" s="6">
        <f>W10*N10</f>
        <v>69220.020179162879</v>
      </c>
      <c r="Y10" s="4">
        <f>+X10+V10+T10-M10</f>
        <v>64903.459635630716</v>
      </c>
      <c r="Z10" s="5">
        <f>IF(Y10&gt;0,(Y10/V10),0)</f>
        <v>0.41298479466988314</v>
      </c>
      <c r="AA10" s="5">
        <v>0.3642674495335097</v>
      </c>
      <c r="AB10" s="5">
        <f>Z10-AA10</f>
        <v>4.8717345136373436E-2</v>
      </c>
    </row>
    <row r="11" spans="1:28">
      <c r="A11" s="75" t="s">
        <v>94</v>
      </c>
      <c r="B11" s="30">
        <f>70.95+185.95</f>
        <v>256.89999999999998</v>
      </c>
      <c r="C11" s="34">
        <f>51448.1967551783+130026.957914428</f>
        <v>181475.1546696063</v>
      </c>
      <c r="D11" s="82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76">
        <f t="shared" si="0"/>
        <v>0</v>
      </c>
      <c r="K11" s="77">
        <f t="shared" si="0"/>
        <v>0</v>
      </c>
      <c r="L11" s="82">
        <f t="shared" ref="L11:M60" si="1">+B11+D11+J11</f>
        <v>256.89999999999998</v>
      </c>
      <c r="M11" s="6">
        <f t="shared" si="1"/>
        <v>181475.1546696063</v>
      </c>
      <c r="N11" s="48">
        <f t="shared" ref="N11:N21" si="2">M11/L11</f>
        <v>706.40387181629546</v>
      </c>
      <c r="O11" s="48">
        <v>0</v>
      </c>
      <c r="P11" s="48">
        <f t="shared" ref="P11:P60" si="3">+O11*N11</f>
        <v>0</v>
      </c>
      <c r="Q11" s="30">
        <v>67.97</v>
      </c>
      <c r="R11" s="34">
        <f t="shared" ref="R11:R60" si="4">+Q11*N11</f>
        <v>48014.271167353603</v>
      </c>
      <c r="S11" s="65">
        <f t="shared" ref="S11:T60" si="5">+O11+Q11</f>
        <v>67.97</v>
      </c>
      <c r="T11" s="64">
        <f t="shared" si="5"/>
        <v>48014.271167353603</v>
      </c>
      <c r="U11" s="30">
        <f>153.45-6.9</f>
        <v>146.54999999999998</v>
      </c>
      <c r="V11" s="34">
        <f>147550.017-1000.02</f>
        <v>146549.997</v>
      </c>
      <c r="W11" s="30">
        <f t="shared" ref="W11:W60" si="6">L11-U11-S11</f>
        <v>42.379999999999995</v>
      </c>
      <c r="X11" s="6">
        <f t="shared" ref="X11:X60" si="7">W11*N11</f>
        <v>29937.396087574598</v>
      </c>
      <c r="Y11" s="4">
        <f t="shared" ref="Y11:Y60" si="8">+X11+V11+T11-M11</f>
        <v>43026.50958532191</v>
      </c>
      <c r="Z11" s="5">
        <f t="shared" ref="Z11:Z21" si="9">IF(Y11&gt;0,(Y11/V11),0)</f>
        <v>0.2935961137230314</v>
      </c>
      <c r="AA11" s="5">
        <v>0.2748668533449139</v>
      </c>
      <c r="AB11" s="5">
        <f t="shared" ref="AB11:AB60" si="10">Z11-AA11</f>
        <v>1.8729260378117507E-2</v>
      </c>
    </row>
    <row r="12" spans="1:28">
      <c r="A12" s="75" t="s">
        <v>95</v>
      </c>
      <c r="B12" s="30">
        <v>44.57</v>
      </c>
      <c r="C12" s="34">
        <v>337271.81393067434</v>
      </c>
      <c r="D12" s="82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76">
        <f t="shared" si="0"/>
        <v>0</v>
      </c>
      <c r="K12" s="77">
        <f t="shared" si="0"/>
        <v>0</v>
      </c>
      <c r="L12" s="82">
        <f t="shared" si="1"/>
        <v>44.57</v>
      </c>
      <c r="M12" s="6">
        <f t="shared" si="1"/>
        <v>337271.81393067434</v>
      </c>
      <c r="N12" s="48">
        <f t="shared" si="2"/>
        <v>7567.2383650588808</v>
      </c>
      <c r="O12" s="48">
        <v>0</v>
      </c>
      <c r="P12" s="48">
        <f t="shared" si="3"/>
        <v>0</v>
      </c>
      <c r="Q12" s="30">
        <v>35.06</v>
      </c>
      <c r="R12" s="34">
        <f t="shared" si="4"/>
        <v>265307.37707896437</v>
      </c>
      <c r="S12" s="65">
        <f t="shared" si="5"/>
        <v>35.06</v>
      </c>
      <c r="T12" s="64">
        <f t="shared" si="5"/>
        <v>265307.37707896437</v>
      </c>
      <c r="U12" s="30">
        <v>0</v>
      </c>
      <c r="V12" s="34">
        <v>0</v>
      </c>
      <c r="W12" s="30">
        <f t="shared" si="6"/>
        <v>9.509999999999998</v>
      </c>
      <c r="X12" s="6">
        <f t="shared" si="7"/>
        <v>71964.436851709936</v>
      </c>
      <c r="Y12" s="4">
        <f t="shared" si="8"/>
        <v>0</v>
      </c>
      <c r="Z12" s="5">
        <f t="shared" si="9"/>
        <v>0</v>
      </c>
      <c r="AA12" s="5">
        <v>0</v>
      </c>
      <c r="AB12" s="5">
        <f t="shared" si="10"/>
        <v>0</v>
      </c>
    </row>
    <row r="13" spans="1:28">
      <c r="A13" s="75" t="s">
        <v>96</v>
      </c>
      <c r="B13" s="30">
        <f>10.1+46.8</f>
        <v>56.9</v>
      </c>
      <c r="C13" s="34">
        <f>8036.46233713774+35157.0618328354</f>
        <v>43193.524169973141</v>
      </c>
      <c r="D13" s="82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76">
        <f t="shared" si="0"/>
        <v>0</v>
      </c>
      <c r="K13" s="77">
        <f t="shared" si="0"/>
        <v>0</v>
      </c>
      <c r="L13" s="82">
        <f t="shared" si="1"/>
        <v>56.9</v>
      </c>
      <c r="M13" s="6">
        <f t="shared" si="1"/>
        <v>43193.524169973141</v>
      </c>
      <c r="N13" s="48">
        <f t="shared" si="2"/>
        <v>759.11290281147876</v>
      </c>
      <c r="O13" s="48">
        <v>0</v>
      </c>
      <c r="P13" s="48">
        <f t="shared" si="3"/>
        <v>0</v>
      </c>
      <c r="Q13" s="30">
        <v>0</v>
      </c>
      <c r="R13" s="34">
        <f t="shared" si="4"/>
        <v>0</v>
      </c>
      <c r="S13" s="65">
        <f t="shared" si="5"/>
        <v>0</v>
      </c>
      <c r="T13" s="64">
        <f t="shared" si="5"/>
        <v>0</v>
      </c>
      <c r="U13" s="30">
        <v>47.730000000000004</v>
      </c>
      <c r="V13" s="34">
        <v>55378</v>
      </c>
      <c r="W13" s="30">
        <f t="shared" si="6"/>
        <v>9.1699999999999946</v>
      </c>
      <c r="X13" s="6">
        <f t="shared" si="7"/>
        <v>6961.0653187812559</v>
      </c>
      <c r="Y13" s="4">
        <f t="shared" si="8"/>
        <v>19145.541148808115</v>
      </c>
      <c r="Z13" s="5">
        <f t="shared" si="9"/>
        <v>0.34572467674542445</v>
      </c>
      <c r="AA13" s="5">
        <v>0.27664605426302918</v>
      </c>
      <c r="AB13" s="5">
        <f t="shared" si="10"/>
        <v>6.9078622482395269E-2</v>
      </c>
    </row>
    <row r="14" spans="1:28">
      <c r="A14" s="75" t="s">
        <v>97</v>
      </c>
      <c r="B14" s="30">
        <v>3.46</v>
      </c>
      <c r="C14" s="34">
        <v>27856.517132767014</v>
      </c>
      <c r="D14" s="82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76">
        <f t="shared" si="0"/>
        <v>0</v>
      </c>
      <c r="K14" s="77">
        <f t="shared" si="0"/>
        <v>0</v>
      </c>
      <c r="L14" s="82">
        <f t="shared" si="1"/>
        <v>3.46</v>
      </c>
      <c r="M14" s="6">
        <f t="shared" si="1"/>
        <v>27856.517132767014</v>
      </c>
      <c r="N14" s="48">
        <f t="shared" si="2"/>
        <v>8051.0165123604083</v>
      </c>
      <c r="O14" s="48">
        <v>0</v>
      </c>
      <c r="P14" s="48">
        <f t="shared" si="3"/>
        <v>0</v>
      </c>
      <c r="Q14" s="30">
        <v>0</v>
      </c>
      <c r="R14" s="34">
        <f t="shared" si="4"/>
        <v>0</v>
      </c>
      <c r="S14" s="65">
        <f t="shared" si="5"/>
        <v>0</v>
      </c>
      <c r="T14" s="64">
        <f t="shared" si="5"/>
        <v>0</v>
      </c>
      <c r="U14" s="30">
        <v>0.64</v>
      </c>
      <c r="V14" s="34">
        <v>7360</v>
      </c>
      <c r="W14" s="30">
        <f t="shared" si="6"/>
        <v>2.82</v>
      </c>
      <c r="X14" s="6">
        <f t="shared" si="7"/>
        <v>22703.866564856351</v>
      </c>
      <c r="Y14" s="4">
        <f t="shared" si="8"/>
        <v>2207.3494320893369</v>
      </c>
      <c r="Z14" s="5">
        <f t="shared" si="9"/>
        <v>0.2999116076208338</v>
      </c>
      <c r="AA14" s="5">
        <v>0</v>
      </c>
      <c r="AB14" s="5">
        <f t="shared" si="10"/>
        <v>0.2999116076208338</v>
      </c>
    </row>
    <row r="15" spans="1:28">
      <c r="A15" s="75" t="s">
        <v>98</v>
      </c>
      <c r="B15" s="30">
        <v>17.2</v>
      </c>
      <c r="C15" s="34">
        <v>14679.333729126965</v>
      </c>
      <c r="D15" s="82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76">
        <f t="shared" si="0"/>
        <v>0</v>
      </c>
      <c r="K15" s="77">
        <f t="shared" si="0"/>
        <v>0</v>
      </c>
      <c r="L15" s="82">
        <f t="shared" si="1"/>
        <v>17.2</v>
      </c>
      <c r="M15" s="6">
        <f t="shared" si="1"/>
        <v>14679.333729126965</v>
      </c>
      <c r="N15" s="48">
        <f t="shared" si="2"/>
        <v>853.44963541435845</v>
      </c>
      <c r="O15" s="48">
        <v>0</v>
      </c>
      <c r="P15" s="48">
        <f t="shared" si="3"/>
        <v>0</v>
      </c>
      <c r="Q15" s="30">
        <v>0</v>
      </c>
      <c r="R15" s="34">
        <f t="shared" si="4"/>
        <v>0</v>
      </c>
      <c r="S15" s="65">
        <f t="shared" si="5"/>
        <v>0</v>
      </c>
      <c r="T15" s="64">
        <f t="shared" si="5"/>
        <v>0</v>
      </c>
      <c r="U15" s="30">
        <v>17.2</v>
      </c>
      <c r="V15" s="34">
        <v>20640</v>
      </c>
      <c r="W15" s="30">
        <f t="shared" si="6"/>
        <v>0</v>
      </c>
      <c r="X15" s="6">
        <f t="shared" si="7"/>
        <v>0</v>
      </c>
      <c r="Y15" s="4">
        <f t="shared" si="8"/>
        <v>5960.6662708730346</v>
      </c>
      <c r="Z15" s="5">
        <f t="shared" si="9"/>
        <v>0.28879197048803462</v>
      </c>
      <c r="AA15" s="5">
        <v>0.38768385525243604</v>
      </c>
      <c r="AB15" s="5">
        <f t="shared" si="10"/>
        <v>-9.8891884764401417E-2</v>
      </c>
    </row>
    <row r="16" spans="1:28">
      <c r="A16" s="75" t="s">
        <v>99</v>
      </c>
      <c r="B16" s="30">
        <f>111.18+13.84</f>
        <v>125.02000000000001</v>
      </c>
      <c r="C16" s="34">
        <f>111201.327087591+13343.7258335621</f>
        <v>124545.0529211531</v>
      </c>
      <c r="D16" s="82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76">
        <f t="shared" si="0"/>
        <v>0</v>
      </c>
      <c r="K16" s="77">
        <f t="shared" si="0"/>
        <v>0</v>
      </c>
      <c r="L16" s="82">
        <f t="shared" si="1"/>
        <v>125.02000000000001</v>
      </c>
      <c r="M16" s="6">
        <f t="shared" si="1"/>
        <v>124545.0529211531</v>
      </c>
      <c r="N16" s="48">
        <f t="shared" si="2"/>
        <v>996.20103120423198</v>
      </c>
      <c r="O16" s="48">
        <v>0</v>
      </c>
      <c r="P16" s="48">
        <f t="shared" si="3"/>
        <v>0</v>
      </c>
      <c r="Q16" s="30">
        <v>50</v>
      </c>
      <c r="R16" s="34">
        <f t="shared" si="4"/>
        <v>49810.051560211599</v>
      </c>
      <c r="S16" s="65">
        <f t="shared" si="5"/>
        <v>50</v>
      </c>
      <c r="T16" s="64">
        <f t="shared" si="5"/>
        <v>49810.051560211599</v>
      </c>
      <c r="U16" s="30">
        <v>75.02</v>
      </c>
      <c r="V16" s="34">
        <v>105028</v>
      </c>
      <c r="W16" s="30">
        <f t="shared" si="6"/>
        <v>0</v>
      </c>
      <c r="X16" s="6">
        <f t="shared" si="7"/>
        <v>0</v>
      </c>
      <c r="Y16" s="4">
        <f t="shared" si="8"/>
        <v>30292.998639058511</v>
      </c>
      <c r="Z16" s="5">
        <f t="shared" si="9"/>
        <v>0.28842783485411994</v>
      </c>
      <c r="AA16" s="5">
        <v>0.29644558422913647</v>
      </c>
      <c r="AB16" s="5">
        <f t="shared" si="10"/>
        <v>-8.0177493750165363E-3</v>
      </c>
    </row>
    <row r="17" spans="1:30">
      <c r="A17" s="75" t="s">
        <v>100</v>
      </c>
      <c r="B17" s="30">
        <v>9.25</v>
      </c>
      <c r="C17" s="34">
        <v>101791.95207700341</v>
      </c>
      <c r="D17" s="82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76">
        <f t="shared" si="0"/>
        <v>0</v>
      </c>
      <c r="K17" s="77">
        <f t="shared" si="0"/>
        <v>0</v>
      </c>
      <c r="L17" s="82">
        <f t="shared" si="1"/>
        <v>9.25</v>
      </c>
      <c r="M17" s="6">
        <f t="shared" si="1"/>
        <v>101791.95207700341</v>
      </c>
      <c r="N17" s="48">
        <f t="shared" si="2"/>
        <v>11004.535359676045</v>
      </c>
      <c r="O17" s="48">
        <v>0</v>
      </c>
      <c r="P17" s="48">
        <f t="shared" si="3"/>
        <v>0</v>
      </c>
      <c r="Q17" s="30">
        <v>0</v>
      </c>
      <c r="R17" s="34">
        <f t="shared" si="4"/>
        <v>0</v>
      </c>
      <c r="S17" s="65">
        <f t="shared" si="5"/>
        <v>0</v>
      </c>
      <c r="T17" s="64">
        <f t="shared" si="5"/>
        <v>0</v>
      </c>
      <c r="U17" s="30">
        <v>0</v>
      </c>
      <c r="V17" s="34">
        <v>0</v>
      </c>
      <c r="W17" s="30">
        <f t="shared" si="6"/>
        <v>9.25</v>
      </c>
      <c r="X17" s="6">
        <f t="shared" si="7"/>
        <v>101791.95207700341</v>
      </c>
      <c r="Y17" s="4">
        <f t="shared" si="8"/>
        <v>0</v>
      </c>
      <c r="Z17" s="5">
        <f t="shared" si="9"/>
        <v>0</v>
      </c>
      <c r="AA17" s="5">
        <v>0</v>
      </c>
      <c r="AB17" s="5">
        <f t="shared" si="10"/>
        <v>0</v>
      </c>
    </row>
    <row r="18" spans="1:30">
      <c r="A18" s="75" t="s">
        <v>101</v>
      </c>
      <c r="B18" s="30">
        <v>196.09</v>
      </c>
      <c r="C18" s="34">
        <v>22059.444359897025</v>
      </c>
      <c r="D18" s="82">
        <v>0</v>
      </c>
      <c r="E18" s="34">
        <v>0</v>
      </c>
      <c r="F18" s="34">
        <v>0</v>
      </c>
      <c r="G18" s="34">
        <v>0</v>
      </c>
      <c r="H18" s="83">
        <v>676.45</v>
      </c>
      <c r="I18" s="34">
        <v>61280.412651993684</v>
      </c>
      <c r="J18" s="76">
        <f t="shared" si="0"/>
        <v>676.45</v>
      </c>
      <c r="K18" s="77">
        <f t="shared" si="0"/>
        <v>61280.412651993684</v>
      </c>
      <c r="L18" s="82">
        <f t="shared" si="1"/>
        <v>872.54000000000008</v>
      </c>
      <c r="M18" s="6">
        <f t="shared" si="1"/>
        <v>83339.857011890708</v>
      </c>
      <c r="N18" s="48">
        <f t="shared" si="2"/>
        <v>95.514081889530217</v>
      </c>
      <c r="O18" s="48">
        <v>0</v>
      </c>
      <c r="P18" s="48">
        <f t="shared" si="3"/>
        <v>0</v>
      </c>
      <c r="Q18" s="30">
        <v>0</v>
      </c>
      <c r="R18" s="34">
        <f t="shared" si="4"/>
        <v>0</v>
      </c>
      <c r="S18" s="65">
        <f t="shared" si="5"/>
        <v>0</v>
      </c>
      <c r="T18" s="64">
        <f t="shared" si="5"/>
        <v>0</v>
      </c>
      <c r="U18" s="30">
        <v>58.36</v>
      </c>
      <c r="V18" s="34">
        <v>8754</v>
      </c>
      <c r="W18" s="30">
        <f t="shared" si="6"/>
        <v>814.18000000000006</v>
      </c>
      <c r="X18" s="6">
        <f t="shared" si="7"/>
        <v>77765.655192817721</v>
      </c>
      <c r="Y18" s="4">
        <f t="shared" si="8"/>
        <v>3179.7981809270132</v>
      </c>
      <c r="Z18" s="5">
        <f t="shared" si="9"/>
        <v>0.36323945406979818</v>
      </c>
      <c r="AA18" s="5">
        <v>0</v>
      </c>
      <c r="AB18" s="5">
        <f t="shared" si="10"/>
        <v>0.36323945406979818</v>
      </c>
    </row>
    <row r="19" spans="1:30">
      <c r="A19" s="75" t="s">
        <v>102</v>
      </c>
      <c r="B19" s="30">
        <f>9.88+9.83</f>
        <v>19.71</v>
      </c>
      <c r="C19" s="34">
        <f>10871.5086085941+10816.4908524778</f>
        <v>21687.9994610719</v>
      </c>
      <c r="D19" s="82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76">
        <f t="shared" si="0"/>
        <v>0</v>
      </c>
      <c r="K19" s="77">
        <f t="shared" si="0"/>
        <v>0</v>
      </c>
      <c r="L19" s="82">
        <f t="shared" si="1"/>
        <v>19.71</v>
      </c>
      <c r="M19" s="6">
        <f t="shared" si="1"/>
        <v>21687.9994610719</v>
      </c>
      <c r="N19" s="48">
        <f t="shared" si="2"/>
        <v>1100.3551223273414</v>
      </c>
      <c r="O19" s="48">
        <v>0</v>
      </c>
      <c r="P19" s="48">
        <f t="shared" si="3"/>
        <v>0</v>
      </c>
      <c r="Q19" s="30">
        <v>0</v>
      </c>
      <c r="R19" s="34">
        <f t="shared" si="4"/>
        <v>0</v>
      </c>
      <c r="S19" s="65">
        <f t="shared" si="5"/>
        <v>0</v>
      </c>
      <c r="T19" s="64">
        <f t="shared" si="5"/>
        <v>0</v>
      </c>
      <c r="U19" s="30">
        <v>16.159999999999997</v>
      </c>
      <c r="V19" s="34">
        <v>25856</v>
      </c>
      <c r="W19" s="30">
        <f t="shared" si="6"/>
        <v>3.5500000000000043</v>
      </c>
      <c r="X19" s="6">
        <f>W19*N19</f>
        <v>3906.2606842620667</v>
      </c>
      <c r="Y19" s="4">
        <f>+X19+V19+T19-M19</f>
        <v>8074.2612231901658</v>
      </c>
      <c r="Z19" s="5">
        <f t="shared" si="9"/>
        <v>0.31227804854541175</v>
      </c>
      <c r="AA19" s="5">
        <v>0.31227804854541141</v>
      </c>
      <c r="AB19" s="5">
        <f t="shared" si="10"/>
        <v>0</v>
      </c>
    </row>
    <row r="20" spans="1:30">
      <c r="A20" s="75" t="s">
        <v>103</v>
      </c>
      <c r="B20" s="30">
        <v>155.72</v>
      </c>
      <c r="C20" s="34">
        <v>186864</v>
      </c>
      <c r="D20" s="82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76">
        <f t="shared" si="0"/>
        <v>0</v>
      </c>
      <c r="K20" s="77">
        <f t="shared" si="0"/>
        <v>0</v>
      </c>
      <c r="L20" s="82">
        <f t="shared" si="1"/>
        <v>155.72</v>
      </c>
      <c r="M20" s="6">
        <f t="shared" si="1"/>
        <v>186864</v>
      </c>
      <c r="N20" s="48">
        <f t="shared" si="2"/>
        <v>1200</v>
      </c>
      <c r="O20" s="48">
        <v>0</v>
      </c>
      <c r="P20" s="48">
        <f t="shared" si="3"/>
        <v>0</v>
      </c>
      <c r="Q20" s="30">
        <v>0</v>
      </c>
      <c r="R20" s="34">
        <f t="shared" si="4"/>
        <v>0</v>
      </c>
      <c r="S20" s="65">
        <f t="shared" si="5"/>
        <v>0</v>
      </c>
      <c r="T20" s="64">
        <f t="shared" si="5"/>
        <v>0</v>
      </c>
      <c r="U20" s="30">
        <v>150.76000000000002</v>
      </c>
      <c r="V20" s="34">
        <v>257887</v>
      </c>
      <c r="W20" s="30">
        <f t="shared" si="6"/>
        <v>4.9599999999999795</v>
      </c>
      <c r="X20" s="6">
        <f t="shared" si="7"/>
        <v>5951.9999999999754</v>
      </c>
      <c r="Y20" s="4">
        <f t="shared" si="8"/>
        <v>76975</v>
      </c>
      <c r="Z20" s="5">
        <f t="shared" si="9"/>
        <v>0.29848344429924734</v>
      </c>
      <c r="AA20" s="5">
        <v>0.25</v>
      </c>
      <c r="AB20" s="5">
        <f t="shared" si="10"/>
        <v>4.8483444299247336E-2</v>
      </c>
    </row>
    <row r="21" spans="1:30">
      <c r="A21" s="75" t="s">
        <v>104</v>
      </c>
      <c r="B21" s="30">
        <v>108.18</v>
      </c>
      <c r="C21" s="34">
        <v>139870.46411695867</v>
      </c>
      <c r="D21" s="82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76">
        <f t="shared" si="0"/>
        <v>0</v>
      </c>
      <c r="K21" s="77">
        <f t="shared" si="0"/>
        <v>0</v>
      </c>
      <c r="L21" s="82">
        <f t="shared" si="1"/>
        <v>108.18</v>
      </c>
      <c r="M21" s="6">
        <f t="shared" si="1"/>
        <v>139870.46411695867</v>
      </c>
      <c r="N21" s="48">
        <f t="shared" si="2"/>
        <v>1292.9419866607382</v>
      </c>
      <c r="O21" s="48">
        <v>0</v>
      </c>
      <c r="P21" s="48">
        <f t="shared" si="3"/>
        <v>0</v>
      </c>
      <c r="Q21" s="30">
        <v>75.010000000000005</v>
      </c>
      <c r="R21" s="34">
        <f t="shared" si="4"/>
        <v>96983.578419421974</v>
      </c>
      <c r="S21" s="65">
        <f t="shared" si="5"/>
        <v>75.010000000000005</v>
      </c>
      <c r="T21" s="64">
        <f t="shared" si="5"/>
        <v>96983.578419421974</v>
      </c>
      <c r="U21" s="30">
        <v>27.529999999999998</v>
      </c>
      <c r="V21" s="34">
        <v>49554</v>
      </c>
      <c r="W21" s="30">
        <f t="shared" si="6"/>
        <v>5.6400000000000006</v>
      </c>
      <c r="X21" s="6">
        <f t="shared" si="7"/>
        <v>7292.1928047665642</v>
      </c>
      <c r="Y21" s="4">
        <f t="shared" si="8"/>
        <v>13959.307107229863</v>
      </c>
      <c r="Z21" s="5">
        <f t="shared" si="9"/>
        <v>0.28169889629958961</v>
      </c>
      <c r="AA21" s="5">
        <v>0.2816988962996263</v>
      </c>
      <c r="AB21" s="5">
        <f t="shared" si="10"/>
        <v>-3.6692870963861424E-14</v>
      </c>
    </row>
    <row r="22" spans="1:30">
      <c r="A22" s="75" t="s">
        <v>105</v>
      </c>
      <c r="B22" s="30">
        <v>1.855</v>
      </c>
      <c r="C22" s="34">
        <v>3561.7251264755478</v>
      </c>
      <c r="D22" s="82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76">
        <f t="shared" si="0"/>
        <v>0</v>
      </c>
      <c r="K22" s="77">
        <f t="shared" si="0"/>
        <v>0</v>
      </c>
      <c r="L22" s="82">
        <f t="shared" si="1"/>
        <v>1.855</v>
      </c>
      <c r="M22" s="6">
        <f t="shared" si="1"/>
        <v>3561.7251264755478</v>
      </c>
      <c r="N22" s="48">
        <f>M22/L22</f>
        <v>1920.0674536256322</v>
      </c>
      <c r="O22" s="48">
        <v>0</v>
      </c>
      <c r="P22" s="48">
        <f t="shared" si="3"/>
        <v>0</v>
      </c>
      <c r="Q22" s="30">
        <v>0</v>
      </c>
      <c r="R22" s="34">
        <f t="shared" si="4"/>
        <v>0</v>
      </c>
      <c r="S22" s="65">
        <f t="shared" si="5"/>
        <v>0</v>
      </c>
      <c r="T22" s="64">
        <f t="shared" si="5"/>
        <v>0</v>
      </c>
      <c r="U22" s="30">
        <v>1.855</v>
      </c>
      <c r="V22" s="34">
        <v>3524.5</v>
      </c>
      <c r="W22" s="30">
        <f t="shared" si="6"/>
        <v>0</v>
      </c>
      <c r="X22" s="6">
        <f t="shared" si="7"/>
        <v>0</v>
      </c>
      <c r="Y22" s="4">
        <f t="shared" si="8"/>
        <v>-37.225126475547768</v>
      </c>
      <c r="Z22" s="5">
        <f>IF(Y22&gt;0,(Y22/V22),0)</f>
        <v>0</v>
      </c>
      <c r="AA22" s="5">
        <v>0</v>
      </c>
      <c r="AB22" s="5">
        <f t="shared" si="10"/>
        <v>0</v>
      </c>
      <c r="AD22" s="6"/>
    </row>
    <row r="23" spans="1:30">
      <c r="A23" s="75" t="s">
        <v>106</v>
      </c>
      <c r="B23" s="30">
        <f>142.78+408.94+70</f>
        <v>621.72</v>
      </c>
      <c r="C23" s="34">
        <f>13788.2646816827+62044.249415953+8422.14290877768</f>
        <v>84254.657006413385</v>
      </c>
      <c r="D23" s="82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76">
        <f t="shared" si="0"/>
        <v>0</v>
      </c>
      <c r="K23" s="77">
        <f t="shared" si="0"/>
        <v>0</v>
      </c>
      <c r="L23" s="82">
        <f t="shared" si="1"/>
        <v>621.72</v>
      </c>
      <c r="M23" s="6">
        <f t="shared" si="1"/>
        <v>84254.657006413385</v>
      </c>
      <c r="N23" s="48">
        <f t="shared" ref="N23:N33" si="11">M23/L23</f>
        <v>135.51865310173935</v>
      </c>
      <c r="O23" s="48">
        <v>0</v>
      </c>
      <c r="P23" s="48">
        <f t="shared" si="3"/>
        <v>0</v>
      </c>
      <c r="Q23" s="30">
        <v>145.96</v>
      </c>
      <c r="R23" s="34">
        <f t="shared" si="4"/>
        <v>19780.302606729878</v>
      </c>
      <c r="S23" s="65">
        <f t="shared" si="5"/>
        <v>145.96</v>
      </c>
      <c r="T23" s="64">
        <f t="shared" si="5"/>
        <v>19780.302606729878</v>
      </c>
      <c r="U23" s="30">
        <v>85.83</v>
      </c>
      <c r="V23" s="34">
        <v>17166</v>
      </c>
      <c r="W23" s="30">
        <f t="shared" si="6"/>
        <v>389.92999999999995</v>
      </c>
      <c r="X23" s="6">
        <f t="shared" si="7"/>
        <v>52842.788403961218</v>
      </c>
      <c r="Y23" s="4">
        <f t="shared" si="8"/>
        <v>5534.4340042777185</v>
      </c>
      <c r="Z23" s="5">
        <f t="shared" ref="Z23:Z33" si="12">IF(Y23&gt;0,(Y23/V23),0)</f>
        <v>0.32240673449130364</v>
      </c>
      <c r="AA23" s="5">
        <v>0.51714999713956322</v>
      </c>
      <c r="AB23" s="5">
        <f t="shared" si="10"/>
        <v>-0.19474326264825959</v>
      </c>
      <c r="AD23" s="6"/>
    </row>
    <row r="24" spans="1:30">
      <c r="A24" s="75" t="s">
        <v>107</v>
      </c>
      <c r="B24" s="30">
        <v>14.58</v>
      </c>
      <c r="C24" s="34">
        <v>20401.919009832909</v>
      </c>
      <c r="D24" s="82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76">
        <f t="shared" si="0"/>
        <v>0</v>
      </c>
      <c r="K24" s="77">
        <f t="shared" si="0"/>
        <v>0</v>
      </c>
      <c r="L24" s="82">
        <f t="shared" si="1"/>
        <v>14.58</v>
      </c>
      <c r="M24" s="6">
        <f t="shared" si="1"/>
        <v>20401.919009832909</v>
      </c>
      <c r="N24" s="48">
        <f t="shared" si="11"/>
        <v>1399.3085740626138</v>
      </c>
      <c r="O24" s="48">
        <v>0</v>
      </c>
      <c r="P24" s="48">
        <f t="shared" si="3"/>
        <v>0</v>
      </c>
      <c r="Q24" s="30">
        <v>0</v>
      </c>
      <c r="R24" s="34">
        <f t="shared" si="4"/>
        <v>0</v>
      </c>
      <c r="S24" s="65">
        <f t="shared" si="5"/>
        <v>0</v>
      </c>
      <c r="T24" s="64">
        <f t="shared" si="5"/>
        <v>0</v>
      </c>
      <c r="U24" s="30">
        <v>9.4</v>
      </c>
      <c r="V24" s="34">
        <v>18800</v>
      </c>
      <c r="W24" s="30">
        <f t="shared" si="6"/>
        <v>5.18</v>
      </c>
      <c r="X24" s="6">
        <f t="shared" si="7"/>
        <v>7248.4184136443391</v>
      </c>
      <c r="Y24" s="4">
        <f t="shared" si="8"/>
        <v>5646.499403811431</v>
      </c>
      <c r="Z24" s="5">
        <f t="shared" si="12"/>
        <v>0.30034571296869311</v>
      </c>
      <c r="AA24" s="5">
        <v>0.30034571296869123</v>
      </c>
      <c r="AB24" s="5">
        <f t="shared" si="10"/>
        <v>1.8873791418627661E-15</v>
      </c>
      <c r="AD24" s="6"/>
    </row>
    <row r="25" spans="1:30">
      <c r="A25" s="75" t="s">
        <v>108</v>
      </c>
      <c r="B25" s="30">
        <v>4.8</v>
      </c>
      <c r="C25" s="34">
        <v>10080</v>
      </c>
      <c r="D25" s="82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76">
        <f t="shared" si="0"/>
        <v>0</v>
      </c>
      <c r="K25" s="77">
        <f t="shared" si="0"/>
        <v>0</v>
      </c>
      <c r="L25" s="82">
        <f t="shared" si="1"/>
        <v>4.8</v>
      </c>
      <c r="M25" s="6">
        <f t="shared" si="1"/>
        <v>10080</v>
      </c>
      <c r="N25" s="48">
        <f t="shared" si="11"/>
        <v>2100</v>
      </c>
      <c r="O25" s="48">
        <v>0</v>
      </c>
      <c r="P25" s="48">
        <f t="shared" si="3"/>
        <v>0</v>
      </c>
      <c r="Q25" s="30">
        <v>0</v>
      </c>
      <c r="R25" s="34">
        <f t="shared" si="4"/>
        <v>0</v>
      </c>
      <c r="S25" s="65">
        <f t="shared" si="5"/>
        <v>0</v>
      </c>
      <c r="T25" s="64">
        <f t="shared" si="5"/>
        <v>0</v>
      </c>
      <c r="U25" s="30">
        <v>0</v>
      </c>
      <c r="V25" s="34">
        <v>0</v>
      </c>
      <c r="W25" s="30">
        <f t="shared" si="6"/>
        <v>4.8</v>
      </c>
      <c r="X25" s="6">
        <f t="shared" si="7"/>
        <v>10080</v>
      </c>
      <c r="Y25" s="4">
        <f t="shared" si="8"/>
        <v>0</v>
      </c>
      <c r="Z25" s="5">
        <f t="shared" si="12"/>
        <v>0</v>
      </c>
      <c r="AA25" s="5">
        <v>0</v>
      </c>
      <c r="AB25" s="5">
        <f t="shared" si="10"/>
        <v>0</v>
      </c>
      <c r="AD25" s="6"/>
    </row>
    <row r="26" spans="1:30">
      <c r="A26" s="75" t="s">
        <v>109</v>
      </c>
      <c r="B26" s="30">
        <v>1.6850000000000001</v>
      </c>
      <c r="C26" s="34">
        <v>3734.0552344251778</v>
      </c>
      <c r="D26" s="82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76">
        <f t="shared" si="0"/>
        <v>0</v>
      </c>
      <c r="K26" s="77">
        <f t="shared" si="0"/>
        <v>0</v>
      </c>
      <c r="L26" s="82">
        <f t="shared" si="1"/>
        <v>1.6850000000000001</v>
      </c>
      <c r="M26" s="6">
        <f t="shared" si="1"/>
        <v>3734.0552344251778</v>
      </c>
      <c r="N26" s="48">
        <f t="shared" si="11"/>
        <v>2216.0565189466929</v>
      </c>
      <c r="O26" s="48">
        <v>0</v>
      </c>
      <c r="P26" s="48">
        <f t="shared" si="3"/>
        <v>0</v>
      </c>
      <c r="Q26" s="30">
        <v>0</v>
      </c>
      <c r="R26" s="34">
        <f t="shared" si="4"/>
        <v>0</v>
      </c>
      <c r="S26" s="65">
        <f t="shared" si="5"/>
        <v>0</v>
      </c>
      <c r="T26" s="64">
        <f t="shared" si="5"/>
        <v>0</v>
      </c>
      <c r="U26" s="30">
        <v>1.6850000000000001</v>
      </c>
      <c r="V26" s="34">
        <v>3707</v>
      </c>
      <c r="W26" s="30">
        <f t="shared" si="6"/>
        <v>0</v>
      </c>
      <c r="X26" s="6">
        <f t="shared" si="7"/>
        <v>0</v>
      </c>
      <c r="Y26" s="4">
        <f t="shared" si="8"/>
        <v>-27.055234425177787</v>
      </c>
      <c r="Z26" s="5">
        <f t="shared" si="12"/>
        <v>0</v>
      </c>
      <c r="AA26" s="5">
        <v>0</v>
      </c>
      <c r="AB26" s="5">
        <f t="shared" si="10"/>
        <v>0</v>
      </c>
      <c r="AD26" s="6"/>
    </row>
    <row r="27" spans="1:30">
      <c r="A27" s="75" t="s">
        <v>110</v>
      </c>
      <c r="B27" s="30">
        <v>0.98</v>
      </c>
      <c r="C27" s="34">
        <v>16159.63661894806</v>
      </c>
      <c r="D27" s="82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76">
        <f t="shared" si="0"/>
        <v>0</v>
      </c>
      <c r="K27" s="77">
        <f t="shared" si="0"/>
        <v>0</v>
      </c>
      <c r="L27" s="82">
        <f t="shared" si="1"/>
        <v>0.98</v>
      </c>
      <c r="M27" s="6">
        <f t="shared" si="1"/>
        <v>16159.63661894806</v>
      </c>
      <c r="N27" s="48">
        <f t="shared" si="11"/>
        <v>16489.425121375571</v>
      </c>
      <c r="O27" s="48">
        <v>0</v>
      </c>
      <c r="P27" s="48">
        <f t="shared" si="3"/>
        <v>0</v>
      </c>
      <c r="Q27" s="30">
        <v>0</v>
      </c>
      <c r="R27" s="34">
        <f t="shared" si="4"/>
        <v>0</v>
      </c>
      <c r="S27" s="65">
        <f t="shared" si="5"/>
        <v>0</v>
      </c>
      <c r="T27" s="64">
        <f t="shared" si="5"/>
        <v>0</v>
      </c>
      <c r="U27" s="30">
        <v>0.98</v>
      </c>
      <c r="V27" s="34">
        <v>23520</v>
      </c>
      <c r="W27" s="30">
        <f t="shared" si="6"/>
        <v>0</v>
      </c>
      <c r="X27" s="6">
        <f t="shared" si="7"/>
        <v>0</v>
      </c>
      <c r="Y27" s="4">
        <f t="shared" si="8"/>
        <v>7360.3633810519405</v>
      </c>
      <c r="Z27" s="5">
        <f t="shared" si="12"/>
        <v>0.31294061994268452</v>
      </c>
      <c r="AA27" s="5">
        <v>0</v>
      </c>
      <c r="AB27" s="5">
        <f t="shared" si="10"/>
        <v>0.31294061994268452</v>
      </c>
      <c r="AD27" s="6"/>
    </row>
    <row r="28" spans="1:30">
      <c r="A28" s="75" t="s">
        <v>111</v>
      </c>
      <c r="B28" s="30">
        <v>77.11</v>
      </c>
      <c r="C28" s="34">
        <v>139627.01193366427</v>
      </c>
      <c r="D28" s="82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76">
        <f t="shared" si="0"/>
        <v>0</v>
      </c>
      <c r="K28" s="77">
        <f t="shared" si="0"/>
        <v>0</v>
      </c>
      <c r="L28" s="82">
        <f t="shared" si="1"/>
        <v>77.11</v>
      </c>
      <c r="M28" s="6">
        <f t="shared" si="1"/>
        <v>139627.01193366427</v>
      </c>
      <c r="N28" s="48">
        <f t="shared" si="11"/>
        <v>1810.7510301344089</v>
      </c>
      <c r="O28" s="48">
        <v>0</v>
      </c>
      <c r="P28" s="48">
        <f t="shared" si="3"/>
        <v>0</v>
      </c>
      <c r="Q28" s="30">
        <v>0</v>
      </c>
      <c r="R28" s="34">
        <f t="shared" si="4"/>
        <v>0</v>
      </c>
      <c r="S28" s="65">
        <f t="shared" si="5"/>
        <v>0</v>
      </c>
      <c r="T28" s="64">
        <f t="shared" si="5"/>
        <v>0</v>
      </c>
      <c r="U28" s="30">
        <v>69.33</v>
      </c>
      <c r="V28" s="34">
        <v>187920</v>
      </c>
      <c r="W28" s="30">
        <f t="shared" si="6"/>
        <v>7.7800000000000011</v>
      </c>
      <c r="X28" s="6">
        <f t="shared" si="7"/>
        <v>14087.643014445703</v>
      </c>
      <c r="Y28" s="4">
        <f t="shared" si="8"/>
        <v>62380.63108078143</v>
      </c>
      <c r="Z28" s="5">
        <f t="shared" si="12"/>
        <v>0.33195312409951805</v>
      </c>
      <c r="AA28" s="5">
        <v>0.31791776655459986</v>
      </c>
      <c r="AB28" s="5">
        <f t="shared" si="10"/>
        <v>1.4035357544918192E-2</v>
      </c>
      <c r="AD28" s="6"/>
    </row>
    <row r="29" spans="1:30">
      <c r="A29" s="75" t="s">
        <v>112</v>
      </c>
      <c r="B29" s="30">
        <v>32.72</v>
      </c>
      <c r="C29" s="34">
        <v>60996.552708271709</v>
      </c>
      <c r="D29" s="82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76">
        <f t="shared" si="0"/>
        <v>0</v>
      </c>
      <c r="K29" s="77">
        <f t="shared" si="0"/>
        <v>0</v>
      </c>
      <c r="L29" s="82">
        <f t="shared" si="1"/>
        <v>32.72</v>
      </c>
      <c r="M29" s="6">
        <f t="shared" si="1"/>
        <v>60996.552708271709</v>
      </c>
      <c r="N29" s="48">
        <f t="shared" si="11"/>
        <v>1864.1978211574483</v>
      </c>
      <c r="O29" s="48">
        <v>0</v>
      </c>
      <c r="P29" s="48">
        <f t="shared" si="3"/>
        <v>0</v>
      </c>
      <c r="Q29" s="30">
        <v>0</v>
      </c>
      <c r="R29" s="34">
        <f t="shared" si="4"/>
        <v>0</v>
      </c>
      <c r="S29" s="65">
        <f t="shared" si="5"/>
        <v>0</v>
      </c>
      <c r="T29" s="64">
        <f t="shared" si="5"/>
        <v>0</v>
      </c>
      <c r="U29" s="30">
        <v>24.78</v>
      </c>
      <c r="V29" s="34">
        <v>64428</v>
      </c>
      <c r="W29" s="30">
        <f t="shared" si="6"/>
        <v>7.9399999999999977</v>
      </c>
      <c r="X29" s="6">
        <f t="shared" si="7"/>
        <v>14801.730699990136</v>
      </c>
      <c r="Y29" s="4">
        <f t="shared" si="8"/>
        <v>18233.177991718425</v>
      </c>
      <c r="Z29" s="5">
        <f t="shared" si="12"/>
        <v>0.28300083801636594</v>
      </c>
      <c r="AA29" s="5">
        <v>0.28300083801636616</v>
      </c>
      <c r="AB29" s="5">
        <f t="shared" si="10"/>
        <v>0</v>
      </c>
      <c r="AD29" s="6"/>
    </row>
    <row r="30" spans="1:30">
      <c r="A30" s="75" t="s">
        <v>113</v>
      </c>
      <c r="B30" s="30">
        <v>1.67</v>
      </c>
      <c r="C30" s="34">
        <v>3324.9835692294951</v>
      </c>
      <c r="D30" s="82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76">
        <f t="shared" si="0"/>
        <v>0</v>
      </c>
      <c r="K30" s="77">
        <f t="shared" si="0"/>
        <v>0</v>
      </c>
      <c r="L30" s="82">
        <f t="shared" si="1"/>
        <v>1.67</v>
      </c>
      <c r="M30" s="6">
        <f t="shared" si="1"/>
        <v>3324.9835692294951</v>
      </c>
      <c r="N30" s="48">
        <f t="shared" si="11"/>
        <v>1991.0081252871228</v>
      </c>
      <c r="O30" s="48">
        <v>0</v>
      </c>
      <c r="P30" s="48">
        <f t="shared" si="3"/>
        <v>0</v>
      </c>
      <c r="Q30" s="30">
        <v>0</v>
      </c>
      <c r="R30" s="34">
        <f t="shared" si="4"/>
        <v>0</v>
      </c>
      <c r="S30" s="65">
        <f t="shared" si="5"/>
        <v>0</v>
      </c>
      <c r="T30" s="64">
        <f t="shared" si="5"/>
        <v>0</v>
      </c>
      <c r="U30" s="30">
        <v>1.67</v>
      </c>
      <c r="V30" s="34">
        <v>4676</v>
      </c>
      <c r="W30" s="30">
        <f t="shared" si="6"/>
        <v>0</v>
      </c>
      <c r="X30" s="6">
        <f t="shared" si="7"/>
        <v>0</v>
      </c>
      <c r="Y30" s="4">
        <f t="shared" si="8"/>
        <v>1351.0164307705049</v>
      </c>
      <c r="Z30" s="5">
        <f t="shared" si="12"/>
        <v>0.28892566954031329</v>
      </c>
      <c r="AA30" s="5">
        <v>0</v>
      </c>
      <c r="AB30" s="5">
        <f t="shared" si="10"/>
        <v>0.28892566954031329</v>
      </c>
      <c r="AD30" s="6"/>
    </row>
    <row r="31" spans="1:30">
      <c r="A31" s="75" t="s">
        <v>114</v>
      </c>
      <c r="B31" s="30">
        <v>302.75</v>
      </c>
      <c r="C31" s="34">
        <v>66164.952892847374</v>
      </c>
      <c r="D31" s="82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76">
        <f t="shared" si="0"/>
        <v>0</v>
      </c>
      <c r="K31" s="77">
        <f t="shared" si="0"/>
        <v>0</v>
      </c>
      <c r="L31" s="82">
        <f t="shared" si="1"/>
        <v>302.75</v>
      </c>
      <c r="M31" s="6">
        <f t="shared" si="1"/>
        <v>66164.952892847374</v>
      </c>
      <c r="N31" s="48">
        <f t="shared" si="11"/>
        <v>218.54650005895087</v>
      </c>
      <c r="O31" s="48">
        <v>0</v>
      </c>
      <c r="P31" s="48">
        <f t="shared" si="3"/>
        <v>0</v>
      </c>
      <c r="Q31" s="30">
        <v>0</v>
      </c>
      <c r="R31" s="34">
        <f t="shared" si="4"/>
        <v>0</v>
      </c>
      <c r="S31" s="65">
        <f t="shared" si="5"/>
        <v>0</v>
      </c>
      <c r="T31" s="64">
        <f t="shared" si="5"/>
        <v>0</v>
      </c>
      <c r="U31" s="30">
        <v>302.75</v>
      </c>
      <c r="V31" s="34">
        <v>90825</v>
      </c>
      <c r="W31" s="30">
        <f t="shared" si="6"/>
        <v>0</v>
      </c>
      <c r="X31" s="6">
        <f t="shared" si="7"/>
        <v>0</v>
      </c>
      <c r="Y31" s="4">
        <f t="shared" si="8"/>
        <v>24660.047107152626</v>
      </c>
      <c r="Z31" s="5">
        <f t="shared" si="12"/>
        <v>0.27151166647016378</v>
      </c>
      <c r="AA31" s="5">
        <v>0.27151166647016411</v>
      </c>
      <c r="AB31" s="5">
        <f t="shared" si="10"/>
        <v>0</v>
      </c>
      <c r="AD31" s="6"/>
    </row>
    <row r="32" spans="1:30">
      <c r="A32" s="75" t="s">
        <v>115</v>
      </c>
      <c r="B32" s="30">
        <v>12.13</v>
      </c>
      <c r="C32" s="34">
        <v>26335.894924452576</v>
      </c>
      <c r="D32" s="82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76">
        <f t="shared" si="0"/>
        <v>0</v>
      </c>
      <c r="K32" s="77">
        <f t="shared" si="0"/>
        <v>0</v>
      </c>
      <c r="L32" s="82">
        <f t="shared" si="1"/>
        <v>12.13</v>
      </c>
      <c r="M32" s="6">
        <f t="shared" si="1"/>
        <v>26335.894924452576</v>
      </c>
      <c r="N32" s="48">
        <f t="shared" si="11"/>
        <v>2171.1372567561889</v>
      </c>
      <c r="O32" s="48">
        <v>0</v>
      </c>
      <c r="P32" s="48">
        <f t="shared" si="3"/>
        <v>0</v>
      </c>
      <c r="Q32" s="30">
        <v>0</v>
      </c>
      <c r="R32" s="34">
        <f t="shared" si="4"/>
        <v>0</v>
      </c>
      <c r="S32" s="65">
        <f t="shared" si="5"/>
        <v>0</v>
      </c>
      <c r="T32" s="64">
        <f t="shared" si="5"/>
        <v>0</v>
      </c>
      <c r="U32" s="30">
        <v>12.13</v>
      </c>
      <c r="V32" s="34">
        <v>36390</v>
      </c>
      <c r="W32" s="30">
        <f t="shared" si="6"/>
        <v>0</v>
      </c>
      <c r="X32" s="6">
        <f t="shared" si="7"/>
        <v>0</v>
      </c>
      <c r="Y32" s="4">
        <f t="shared" si="8"/>
        <v>10054.105075547424</v>
      </c>
      <c r="Z32" s="5">
        <f t="shared" si="12"/>
        <v>0.27628758108127027</v>
      </c>
      <c r="AA32" s="5">
        <v>0.37241258714148218</v>
      </c>
      <c r="AB32" s="5">
        <f t="shared" si="10"/>
        <v>-9.6125006060211904E-2</v>
      </c>
      <c r="AD32" s="6"/>
    </row>
    <row r="33" spans="1:30">
      <c r="A33" s="75" t="s">
        <v>116</v>
      </c>
      <c r="B33" s="30">
        <v>0.51</v>
      </c>
      <c r="C33" s="34">
        <v>1580.9999999999993</v>
      </c>
      <c r="D33" s="82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76">
        <f t="shared" si="0"/>
        <v>0</v>
      </c>
      <c r="K33" s="77">
        <f t="shared" si="0"/>
        <v>0</v>
      </c>
      <c r="L33" s="82">
        <f t="shared" si="1"/>
        <v>0.51</v>
      </c>
      <c r="M33" s="6">
        <f t="shared" si="1"/>
        <v>1580.9999999999993</v>
      </c>
      <c r="N33" s="48">
        <f t="shared" si="11"/>
        <v>3099.9999999999986</v>
      </c>
      <c r="O33" s="48">
        <v>0</v>
      </c>
      <c r="P33" s="48">
        <f t="shared" si="3"/>
        <v>0</v>
      </c>
      <c r="Q33" s="30">
        <v>0</v>
      </c>
      <c r="R33" s="34">
        <f t="shared" si="4"/>
        <v>0</v>
      </c>
      <c r="S33" s="65">
        <f t="shared" si="5"/>
        <v>0</v>
      </c>
      <c r="T33" s="64">
        <f t="shared" si="5"/>
        <v>0</v>
      </c>
      <c r="U33" s="30">
        <v>0.51</v>
      </c>
      <c r="V33" s="34">
        <v>1581</v>
      </c>
      <c r="W33" s="30">
        <f t="shared" si="6"/>
        <v>0</v>
      </c>
      <c r="X33" s="6">
        <f t="shared" si="7"/>
        <v>0</v>
      </c>
      <c r="Y33" s="4">
        <f t="shared" si="8"/>
        <v>0</v>
      </c>
      <c r="Z33" s="5">
        <f t="shared" si="12"/>
        <v>0</v>
      </c>
      <c r="AA33" s="5">
        <v>2.4213075060532486E-2</v>
      </c>
      <c r="AB33" s="5">
        <f t="shared" si="10"/>
        <v>-2.4213075060532486E-2</v>
      </c>
      <c r="AD33" s="6"/>
    </row>
    <row r="34" spans="1:30">
      <c r="A34" s="75" t="s">
        <v>117</v>
      </c>
      <c r="B34" s="30">
        <v>0.06</v>
      </c>
      <c r="C34" s="34">
        <v>191.99999999999872</v>
      </c>
      <c r="D34" s="82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76">
        <f t="shared" si="0"/>
        <v>0</v>
      </c>
      <c r="K34" s="77">
        <f t="shared" si="0"/>
        <v>0</v>
      </c>
      <c r="L34" s="82">
        <f t="shared" si="1"/>
        <v>0.06</v>
      </c>
      <c r="M34" s="6">
        <f t="shared" si="1"/>
        <v>191.99999999999872</v>
      </c>
      <c r="N34" s="48">
        <f>M34/L34</f>
        <v>3199.9999999999786</v>
      </c>
      <c r="O34" s="48">
        <v>0</v>
      </c>
      <c r="P34" s="48">
        <f t="shared" si="3"/>
        <v>0</v>
      </c>
      <c r="Q34" s="30">
        <v>0</v>
      </c>
      <c r="R34" s="34">
        <f t="shared" si="4"/>
        <v>0</v>
      </c>
      <c r="S34" s="65">
        <f t="shared" si="5"/>
        <v>0</v>
      </c>
      <c r="T34" s="64">
        <f t="shared" si="5"/>
        <v>0</v>
      </c>
      <c r="U34" s="30">
        <v>0.06</v>
      </c>
      <c r="V34" s="34">
        <v>192</v>
      </c>
      <c r="W34" s="30">
        <f t="shared" si="6"/>
        <v>0</v>
      </c>
      <c r="X34" s="6">
        <f t="shared" si="7"/>
        <v>0</v>
      </c>
      <c r="Y34" s="4">
        <f t="shared" si="8"/>
        <v>1.2789769243681803E-12</v>
      </c>
      <c r="Z34" s="5">
        <f>IF(Y34&gt;0,(Y34/V34),0)</f>
        <v>6.6613381477509392E-15</v>
      </c>
      <c r="AA34" s="5">
        <v>0</v>
      </c>
      <c r="AB34" s="5">
        <f t="shared" si="10"/>
        <v>6.6613381477509392E-15</v>
      </c>
    </row>
    <row r="35" spans="1:30">
      <c r="A35" s="75" t="s">
        <v>118</v>
      </c>
      <c r="B35" s="30">
        <f>100.23+24.6</f>
        <v>124.83000000000001</v>
      </c>
      <c r="C35" s="34">
        <f>24806.6564983416+5713.72909426416</f>
        <v>30520.385592605759</v>
      </c>
      <c r="D35" s="82">
        <v>0</v>
      </c>
      <c r="E35" s="34">
        <v>0</v>
      </c>
      <c r="F35" s="34">
        <v>0</v>
      </c>
      <c r="G35" s="34">
        <v>0</v>
      </c>
      <c r="H35" s="83">
        <v>4.2300000000000004</v>
      </c>
      <c r="I35" s="34">
        <v>989.44194562323833</v>
      </c>
      <c r="J35" s="76">
        <f t="shared" si="0"/>
        <v>4.2300000000000004</v>
      </c>
      <c r="K35" s="77">
        <f t="shared" si="0"/>
        <v>989.44194562323833</v>
      </c>
      <c r="L35" s="82">
        <f t="shared" si="1"/>
        <v>129.06</v>
      </c>
      <c r="M35" s="6">
        <f t="shared" si="1"/>
        <v>31509.827538228998</v>
      </c>
      <c r="N35" s="48">
        <f t="shared" ref="N35:N60" si="13">M35/L35</f>
        <v>244.1486714569115</v>
      </c>
      <c r="O35" s="48">
        <v>0</v>
      </c>
      <c r="P35" s="48">
        <f t="shared" si="3"/>
        <v>0</v>
      </c>
      <c r="Q35" s="30">
        <v>0</v>
      </c>
      <c r="R35" s="34">
        <f t="shared" si="4"/>
        <v>0</v>
      </c>
      <c r="S35" s="65">
        <f t="shared" si="5"/>
        <v>0</v>
      </c>
      <c r="T35" s="64">
        <f t="shared" si="5"/>
        <v>0</v>
      </c>
      <c r="U35" s="30">
        <v>110.88000000000001</v>
      </c>
      <c r="V35" s="34">
        <v>38808</v>
      </c>
      <c r="W35" s="30">
        <f t="shared" si="6"/>
        <v>18.179999999999993</v>
      </c>
      <c r="X35" s="6">
        <f t="shared" si="7"/>
        <v>4438.622847086649</v>
      </c>
      <c r="Y35" s="4">
        <f t="shared" si="8"/>
        <v>11736.795308857651</v>
      </c>
      <c r="Z35" s="5">
        <f t="shared" ref="Z35:Z60" si="14">IF(Y35&gt;0,(Y35/V35),0)</f>
        <v>0.30243236726596706</v>
      </c>
      <c r="AA35" s="5">
        <v>0</v>
      </c>
      <c r="AB35" s="5">
        <f t="shared" si="10"/>
        <v>0.30243236726596706</v>
      </c>
    </row>
    <row r="36" spans="1:30">
      <c r="A36" s="75" t="s">
        <v>119</v>
      </c>
      <c r="B36" s="30">
        <v>70.25</v>
      </c>
      <c r="C36" s="34">
        <v>175146.62518957624</v>
      </c>
      <c r="D36" s="82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76">
        <f t="shared" si="0"/>
        <v>0</v>
      </c>
      <c r="K36" s="77">
        <f t="shared" si="0"/>
        <v>0</v>
      </c>
      <c r="L36" s="82">
        <f t="shared" si="1"/>
        <v>70.25</v>
      </c>
      <c r="M36" s="6">
        <f t="shared" si="1"/>
        <v>175146.62518957624</v>
      </c>
      <c r="N36" s="48">
        <f t="shared" si="13"/>
        <v>2493.1903941576688</v>
      </c>
      <c r="O36" s="48">
        <v>0</v>
      </c>
      <c r="P36" s="48">
        <f t="shared" si="3"/>
        <v>0</v>
      </c>
      <c r="Q36" s="30">
        <v>0</v>
      </c>
      <c r="R36" s="34">
        <f t="shared" si="4"/>
        <v>0</v>
      </c>
      <c r="S36" s="65">
        <f t="shared" si="5"/>
        <v>0</v>
      </c>
      <c r="T36" s="64">
        <f t="shared" si="5"/>
        <v>0</v>
      </c>
      <c r="U36" s="30">
        <v>70.25</v>
      </c>
      <c r="V36" s="34">
        <v>255223</v>
      </c>
      <c r="W36" s="30">
        <f t="shared" si="6"/>
        <v>0</v>
      </c>
      <c r="X36" s="6">
        <f t="shared" si="7"/>
        <v>0</v>
      </c>
      <c r="Y36" s="4">
        <f t="shared" si="8"/>
        <v>80076.37481042376</v>
      </c>
      <c r="Z36" s="5">
        <f t="shared" si="14"/>
        <v>0.31375062126228342</v>
      </c>
      <c r="AA36" s="5">
        <v>0.29952579701096721</v>
      </c>
      <c r="AB36" s="5">
        <f t="shared" si="10"/>
        <v>1.4224824251316215E-2</v>
      </c>
    </row>
    <row r="37" spans="1:30">
      <c r="A37" s="75" t="s">
        <v>120</v>
      </c>
      <c r="B37" s="30">
        <v>0.38</v>
      </c>
      <c r="C37" s="34">
        <v>997.49211290992116</v>
      </c>
      <c r="D37" s="82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76">
        <f t="shared" si="0"/>
        <v>0</v>
      </c>
      <c r="K37" s="77">
        <f t="shared" si="0"/>
        <v>0</v>
      </c>
      <c r="L37" s="82">
        <f t="shared" si="1"/>
        <v>0.38</v>
      </c>
      <c r="M37" s="6">
        <f t="shared" si="1"/>
        <v>997.49211290992116</v>
      </c>
      <c r="N37" s="48">
        <f t="shared" si="13"/>
        <v>2624.9792444997925</v>
      </c>
      <c r="O37" s="48">
        <v>0</v>
      </c>
      <c r="P37" s="48">
        <f t="shared" si="3"/>
        <v>0</v>
      </c>
      <c r="Q37" s="30">
        <v>0</v>
      </c>
      <c r="R37" s="34">
        <f t="shared" si="4"/>
        <v>0</v>
      </c>
      <c r="S37" s="65">
        <f t="shared" si="5"/>
        <v>0</v>
      </c>
      <c r="T37" s="64">
        <f t="shared" si="5"/>
        <v>0</v>
      </c>
      <c r="U37" s="30">
        <v>0.38</v>
      </c>
      <c r="V37" s="34">
        <v>1406</v>
      </c>
      <c r="W37" s="30">
        <f t="shared" si="6"/>
        <v>0</v>
      </c>
      <c r="X37" s="6">
        <f t="shared" si="7"/>
        <v>0</v>
      </c>
      <c r="Y37" s="4">
        <f t="shared" si="8"/>
        <v>408.50788709007884</v>
      </c>
      <c r="Z37" s="5">
        <f t="shared" si="14"/>
        <v>0.29054615013519119</v>
      </c>
      <c r="AA37" s="5">
        <v>0</v>
      </c>
      <c r="AB37" s="5">
        <f t="shared" si="10"/>
        <v>0.29054615013519119</v>
      </c>
    </row>
    <row r="38" spans="1:30">
      <c r="A38" s="75" t="s">
        <v>121</v>
      </c>
      <c r="B38" s="30">
        <v>89.97</v>
      </c>
      <c r="C38" s="34">
        <v>244940.20041664879</v>
      </c>
      <c r="D38" s="82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76">
        <f t="shared" si="0"/>
        <v>0</v>
      </c>
      <c r="K38" s="77">
        <f t="shared" si="0"/>
        <v>0</v>
      </c>
      <c r="L38" s="82">
        <f t="shared" si="1"/>
        <v>89.97</v>
      </c>
      <c r="M38" s="6">
        <f t="shared" si="1"/>
        <v>244940.20041664879</v>
      </c>
      <c r="N38" s="48">
        <f t="shared" si="13"/>
        <v>2722.465270830819</v>
      </c>
      <c r="O38" s="48">
        <v>0</v>
      </c>
      <c r="P38" s="48">
        <f t="shared" si="3"/>
        <v>0</v>
      </c>
      <c r="Q38" s="30">
        <v>75.63</v>
      </c>
      <c r="R38" s="34">
        <f t="shared" si="4"/>
        <v>205900.04843293483</v>
      </c>
      <c r="S38" s="65">
        <f t="shared" si="5"/>
        <v>75.63</v>
      </c>
      <c r="T38" s="64">
        <f t="shared" si="5"/>
        <v>205900.04843293483</v>
      </c>
      <c r="U38" s="30">
        <v>1</v>
      </c>
      <c r="V38" s="34">
        <v>3800</v>
      </c>
      <c r="W38" s="30">
        <f t="shared" si="6"/>
        <v>13.340000000000003</v>
      </c>
      <c r="X38" s="6">
        <f t="shared" si="7"/>
        <v>36317.686712883136</v>
      </c>
      <c r="Y38" s="4">
        <f t="shared" si="8"/>
        <v>1077.5347291691869</v>
      </c>
      <c r="Z38" s="5">
        <f t="shared" si="14"/>
        <v>0.28356177083399653</v>
      </c>
      <c r="AA38" s="5">
        <v>0.29958344506628426</v>
      </c>
      <c r="AB38" s="5">
        <f t="shared" si="10"/>
        <v>-1.602167423228773E-2</v>
      </c>
    </row>
    <row r="39" spans="1:30">
      <c r="A39" s="75" t="s">
        <v>122</v>
      </c>
      <c r="B39" s="30">
        <v>32.1</v>
      </c>
      <c r="C39" s="34">
        <v>89029.602387543448</v>
      </c>
      <c r="D39" s="82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76">
        <f t="shared" si="0"/>
        <v>0</v>
      </c>
      <c r="K39" s="77">
        <f t="shared" si="0"/>
        <v>0</v>
      </c>
      <c r="L39" s="82">
        <f t="shared" si="1"/>
        <v>32.1</v>
      </c>
      <c r="M39" s="6">
        <f t="shared" si="1"/>
        <v>89029.602387543448</v>
      </c>
      <c r="N39" s="48">
        <f t="shared" si="13"/>
        <v>2773.5078625402944</v>
      </c>
      <c r="O39" s="48">
        <v>0</v>
      </c>
      <c r="P39" s="48">
        <f t="shared" si="3"/>
        <v>0</v>
      </c>
      <c r="Q39" s="30">
        <v>0</v>
      </c>
      <c r="R39" s="34">
        <f t="shared" si="4"/>
        <v>0</v>
      </c>
      <c r="S39" s="65">
        <f t="shared" si="5"/>
        <v>0</v>
      </c>
      <c r="T39" s="64">
        <f t="shared" si="5"/>
        <v>0</v>
      </c>
      <c r="U39" s="30">
        <v>25.55</v>
      </c>
      <c r="V39" s="34">
        <v>99645</v>
      </c>
      <c r="W39" s="30">
        <f t="shared" si="6"/>
        <v>6.5500000000000007</v>
      </c>
      <c r="X39" s="6">
        <f t="shared" si="7"/>
        <v>18166.476499638931</v>
      </c>
      <c r="Y39" s="4">
        <f t="shared" si="8"/>
        <v>28781.87411209548</v>
      </c>
      <c r="Z39" s="5">
        <f t="shared" si="14"/>
        <v>0.28884413781018092</v>
      </c>
      <c r="AA39" s="5">
        <v>0</v>
      </c>
      <c r="AB39" s="5">
        <f t="shared" si="10"/>
        <v>0.28884413781018092</v>
      </c>
    </row>
    <row r="40" spans="1:30">
      <c r="A40" s="75" t="s">
        <v>123</v>
      </c>
      <c r="B40" s="30">
        <f>30.1+89.2</f>
        <v>119.30000000000001</v>
      </c>
      <c r="C40" s="34">
        <f>8723.36812681575+23415.0312333679</f>
        <v>32138.399360183648</v>
      </c>
      <c r="D40" s="82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76">
        <f t="shared" si="0"/>
        <v>0</v>
      </c>
      <c r="K40" s="77">
        <f t="shared" si="0"/>
        <v>0</v>
      </c>
      <c r="L40" s="82">
        <f t="shared" si="1"/>
        <v>119.30000000000001</v>
      </c>
      <c r="M40" s="6">
        <f t="shared" si="1"/>
        <v>32138.399360183648</v>
      </c>
      <c r="N40" s="48">
        <f t="shared" si="13"/>
        <v>269.39144476264579</v>
      </c>
      <c r="O40" s="48">
        <v>0</v>
      </c>
      <c r="P40" s="48">
        <f t="shared" si="3"/>
        <v>0</v>
      </c>
      <c r="Q40" s="30">
        <v>0</v>
      </c>
      <c r="R40" s="34">
        <f t="shared" si="4"/>
        <v>0</v>
      </c>
      <c r="S40" s="65">
        <f t="shared" si="5"/>
        <v>0</v>
      </c>
      <c r="T40" s="64">
        <f t="shared" si="5"/>
        <v>0</v>
      </c>
      <c r="U40" s="30">
        <v>108.79999999999998</v>
      </c>
      <c r="V40" s="34">
        <v>43520</v>
      </c>
      <c r="W40" s="30">
        <f t="shared" si="6"/>
        <v>10.500000000000028</v>
      </c>
      <c r="X40" s="6">
        <f t="shared" si="7"/>
        <v>2828.6101700077884</v>
      </c>
      <c r="Y40" s="4">
        <f t="shared" si="8"/>
        <v>14210.210809824137</v>
      </c>
      <c r="Z40" s="5">
        <f t="shared" si="14"/>
        <v>0.32652138809338549</v>
      </c>
      <c r="AA40" s="5">
        <v>0.27546776355350933</v>
      </c>
      <c r="AB40" s="5">
        <f t="shared" si="10"/>
        <v>5.1053624539876163E-2</v>
      </c>
    </row>
    <row r="41" spans="1:30">
      <c r="A41" s="75" t="s">
        <v>124</v>
      </c>
      <c r="B41" s="30">
        <v>0.8</v>
      </c>
      <c r="C41" s="34">
        <v>2306.8015964767619</v>
      </c>
      <c r="D41" s="82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76">
        <f t="shared" si="0"/>
        <v>0</v>
      </c>
      <c r="K41" s="77">
        <f t="shared" si="0"/>
        <v>0</v>
      </c>
      <c r="L41" s="82">
        <f t="shared" si="1"/>
        <v>0.8</v>
      </c>
      <c r="M41" s="6">
        <f t="shared" si="1"/>
        <v>2306.8015964767619</v>
      </c>
      <c r="N41" s="48">
        <f t="shared" si="13"/>
        <v>2883.5019955959524</v>
      </c>
      <c r="O41" s="48">
        <v>0</v>
      </c>
      <c r="P41" s="48">
        <f t="shared" si="3"/>
        <v>0</v>
      </c>
      <c r="Q41" s="30">
        <v>0</v>
      </c>
      <c r="R41" s="34">
        <f t="shared" si="4"/>
        <v>0</v>
      </c>
      <c r="S41" s="65">
        <f t="shared" si="5"/>
        <v>0</v>
      </c>
      <c r="T41" s="64">
        <f t="shared" si="5"/>
        <v>0</v>
      </c>
      <c r="U41" s="30">
        <v>0.8</v>
      </c>
      <c r="V41" s="34">
        <v>3200</v>
      </c>
      <c r="W41" s="30">
        <f t="shared" si="6"/>
        <v>0</v>
      </c>
      <c r="X41" s="6">
        <f t="shared" si="7"/>
        <v>0</v>
      </c>
      <c r="Y41" s="4">
        <f t="shared" si="8"/>
        <v>893.19840352323808</v>
      </c>
      <c r="Z41" s="5">
        <f t="shared" si="14"/>
        <v>0.27912450110101189</v>
      </c>
      <c r="AA41" s="5">
        <v>0</v>
      </c>
      <c r="AB41" s="5">
        <f t="shared" si="10"/>
        <v>0.27912450110101189</v>
      </c>
    </row>
    <row r="42" spans="1:30">
      <c r="A42" s="75" t="s">
        <v>125</v>
      </c>
      <c r="B42" s="30">
        <v>9.06</v>
      </c>
      <c r="C42" s="34">
        <v>29316.201978059144</v>
      </c>
      <c r="D42" s="82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76">
        <f t="shared" si="0"/>
        <v>0</v>
      </c>
      <c r="K42" s="77">
        <f t="shared" si="0"/>
        <v>0</v>
      </c>
      <c r="L42" s="82">
        <f t="shared" si="1"/>
        <v>9.06</v>
      </c>
      <c r="M42" s="6">
        <f t="shared" si="1"/>
        <v>29316.201978059144</v>
      </c>
      <c r="N42" s="48">
        <f t="shared" si="13"/>
        <v>3235.7838827879846</v>
      </c>
      <c r="O42" s="48">
        <v>0</v>
      </c>
      <c r="P42" s="48">
        <f t="shared" si="3"/>
        <v>0</v>
      </c>
      <c r="Q42" s="30">
        <v>0</v>
      </c>
      <c r="R42" s="34">
        <f t="shared" si="4"/>
        <v>0</v>
      </c>
      <c r="S42" s="65">
        <f t="shared" si="5"/>
        <v>0</v>
      </c>
      <c r="T42" s="64">
        <f t="shared" si="5"/>
        <v>0</v>
      </c>
      <c r="U42" s="30">
        <v>9.06</v>
      </c>
      <c r="V42" s="34">
        <v>40770</v>
      </c>
      <c r="W42" s="30">
        <f t="shared" si="6"/>
        <v>0</v>
      </c>
      <c r="X42" s="6">
        <f t="shared" si="7"/>
        <v>0</v>
      </c>
      <c r="Y42" s="4">
        <f t="shared" si="8"/>
        <v>11453.798021940856</v>
      </c>
      <c r="Z42" s="5">
        <f t="shared" si="14"/>
        <v>0.28093691493600337</v>
      </c>
      <c r="AA42" s="5">
        <v>0</v>
      </c>
      <c r="AB42" s="5">
        <f t="shared" si="10"/>
        <v>0.28093691493600337</v>
      </c>
    </row>
    <row r="43" spans="1:30">
      <c r="A43" s="75" t="s">
        <v>126</v>
      </c>
      <c r="B43" s="30">
        <v>22.32</v>
      </c>
      <c r="C43" s="34">
        <v>78315.056089370759</v>
      </c>
      <c r="D43" s="82">
        <v>0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76">
        <f t="shared" si="0"/>
        <v>0</v>
      </c>
      <c r="K43" s="77">
        <f t="shared" si="0"/>
        <v>0</v>
      </c>
      <c r="L43" s="82">
        <f t="shared" si="1"/>
        <v>22.32</v>
      </c>
      <c r="M43" s="6">
        <f t="shared" si="1"/>
        <v>78315.056089370759</v>
      </c>
      <c r="N43" s="48">
        <f t="shared" si="13"/>
        <v>3508.7390721044248</v>
      </c>
      <c r="O43" s="48">
        <v>0</v>
      </c>
      <c r="P43" s="48">
        <f t="shared" si="3"/>
        <v>0</v>
      </c>
      <c r="Q43" s="30">
        <v>0</v>
      </c>
      <c r="R43" s="34">
        <f t="shared" si="4"/>
        <v>0</v>
      </c>
      <c r="S43" s="65">
        <f t="shared" si="5"/>
        <v>0</v>
      </c>
      <c r="T43" s="64">
        <f t="shared" si="5"/>
        <v>0</v>
      </c>
      <c r="U43" s="30">
        <v>13.77</v>
      </c>
      <c r="V43" s="34">
        <v>67948</v>
      </c>
      <c r="W43" s="30">
        <f t="shared" si="6"/>
        <v>8.5500000000000007</v>
      </c>
      <c r="X43" s="6">
        <f t="shared" si="7"/>
        <v>29999.719066492835</v>
      </c>
      <c r="Y43" s="4">
        <f t="shared" si="8"/>
        <v>19632.662977122076</v>
      </c>
      <c r="Z43" s="5">
        <f t="shared" si="14"/>
        <v>0.288936583521547</v>
      </c>
      <c r="AA43" s="5">
        <v>0.28393080161134204</v>
      </c>
      <c r="AB43" s="5">
        <f t="shared" si="10"/>
        <v>5.0057819102049539E-3</v>
      </c>
    </row>
    <row r="44" spans="1:30">
      <c r="A44" s="75" t="s">
        <v>127</v>
      </c>
      <c r="B44" s="30">
        <f>1774.71+913.74</f>
        <v>2688.45</v>
      </c>
      <c r="C44" s="34">
        <f>46025.636970948+11167.6959747596</f>
        <v>57193.332945707596</v>
      </c>
      <c r="D44" s="82">
        <v>0</v>
      </c>
      <c r="E44" s="34">
        <v>0</v>
      </c>
      <c r="F44" s="34">
        <v>0</v>
      </c>
      <c r="G44" s="34">
        <v>0</v>
      </c>
      <c r="H44" s="83">
        <v>6545.27</v>
      </c>
      <c r="I44" s="34">
        <v>178953.40798802962</v>
      </c>
      <c r="J44" s="76">
        <f>+F44+H44</f>
        <v>6545.27</v>
      </c>
      <c r="K44" s="77">
        <f>+G44+I44</f>
        <v>178953.40798802962</v>
      </c>
      <c r="L44" s="82">
        <f>+B44+D44+J44</f>
        <v>9233.7200000000012</v>
      </c>
      <c r="M44" s="6">
        <f>+C44+E44+K44</f>
        <v>236146.74093373722</v>
      </c>
      <c r="N44" s="48">
        <f>M44/L44</f>
        <v>25.57438832168803</v>
      </c>
      <c r="O44" s="48">
        <v>0</v>
      </c>
      <c r="P44" s="48">
        <f>+O44*N44</f>
        <v>0</v>
      </c>
      <c r="Q44" s="30">
        <v>0</v>
      </c>
      <c r="R44" s="34">
        <f>+Q44*N44</f>
        <v>0</v>
      </c>
      <c r="S44" s="65">
        <f>+O44+Q44</f>
        <v>0</v>
      </c>
      <c r="T44" s="64">
        <f>+P44+R44</f>
        <v>0</v>
      </c>
      <c r="U44" s="30">
        <v>840.28</v>
      </c>
      <c r="V44" s="34">
        <v>42014</v>
      </c>
      <c r="W44" s="30">
        <f>L44-U44-S44</f>
        <v>8393.44</v>
      </c>
      <c r="X44" s="6">
        <f>W44*N44</f>
        <v>214657.09391478918</v>
      </c>
      <c r="Y44" s="4">
        <f>+X44+V44+T44-M44</f>
        <v>20524.352981051954</v>
      </c>
      <c r="Z44" s="5">
        <f>IF(Y44&gt;0,(Y44/V44),0)</f>
        <v>0.48851223356623874</v>
      </c>
      <c r="AA44" s="5">
        <v>0</v>
      </c>
      <c r="AB44" s="5">
        <f>Z44-AA44</f>
        <v>0.48851223356623874</v>
      </c>
    </row>
    <row r="45" spans="1:30">
      <c r="A45" s="75" t="s">
        <v>128</v>
      </c>
      <c r="B45" s="30">
        <f>20.48+14.34</f>
        <v>34.82</v>
      </c>
      <c r="C45" s="34">
        <f>7343.41173732551+4954.74700808625</f>
        <v>12298.158745411762</v>
      </c>
      <c r="D45" s="82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76">
        <f t="shared" si="0"/>
        <v>0</v>
      </c>
      <c r="K45" s="77">
        <f t="shared" si="0"/>
        <v>0</v>
      </c>
      <c r="L45" s="82">
        <f t="shared" si="1"/>
        <v>34.82</v>
      </c>
      <c r="M45" s="6">
        <f t="shared" si="1"/>
        <v>12298.158745411762</v>
      </c>
      <c r="N45" s="48">
        <f t="shared" si="13"/>
        <v>353.19238211980934</v>
      </c>
      <c r="O45" s="48">
        <v>0</v>
      </c>
      <c r="P45" s="48">
        <f t="shared" si="3"/>
        <v>0</v>
      </c>
      <c r="Q45" s="30">
        <v>0</v>
      </c>
      <c r="R45" s="34">
        <f t="shared" si="4"/>
        <v>0</v>
      </c>
      <c r="S45" s="65">
        <f t="shared" si="5"/>
        <v>0</v>
      </c>
      <c r="T45" s="64">
        <f t="shared" si="5"/>
        <v>0</v>
      </c>
      <c r="U45" s="30">
        <v>27.959999999999997</v>
      </c>
      <c r="V45" s="34">
        <v>13980</v>
      </c>
      <c r="W45" s="30">
        <f t="shared" si="6"/>
        <v>6.860000000000003</v>
      </c>
      <c r="X45" s="6">
        <f t="shared" si="7"/>
        <v>2422.8997413418933</v>
      </c>
      <c r="Y45" s="4">
        <f t="shared" si="8"/>
        <v>4104.7409959301331</v>
      </c>
      <c r="Z45" s="5">
        <f t="shared" si="14"/>
        <v>0.29361523576038145</v>
      </c>
      <c r="AA45" s="5">
        <v>0.28286994752680483</v>
      </c>
      <c r="AB45" s="5">
        <f t="shared" si="10"/>
        <v>1.0745288233576622E-2</v>
      </c>
    </row>
    <row r="46" spans="1:30">
      <c r="A46" s="75" t="s">
        <v>129</v>
      </c>
      <c r="B46" s="30">
        <v>61.350000000000009</v>
      </c>
      <c r="C46" s="34">
        <v>220575.67063300443</v>
      </c>
      <c r="D46" s="82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76">
        <f t="shared" si="0"/>
        <v>0</v>
      </c>
      <c r="K46" s="77">
        <f t="shared" si="0"/>
        <v>0</v>
      </c>
      <c r="L46" s="82">
        <f t="shared" si="1"/>
        <v>61.350000000000009</v>
      </c>
      <c r="M46" s="6">
        <f t="shared" si="1"/>
        <v>220575.67063300443</v>
      </c>
      <c r="N46" s="48">
        <f t="shared" si="13"/>
        <v>3595.365454490699</v>
      </c>
      <c r="O46" s="48">
        <v>0</v>
      </c>
      <c r="P46" s="48">
        <f t="shared" si="3"/>
        <v>0</v>
      </c>
      <c r="Q46" s="30">
        <v>40.020000000000003</v>
      </c>
      <c r="R46" s="34">
        <f t="shared" si="4"/>
        <v>143886.52548871777</v>
      </c>
      <c r="S46" s="65">
        <f t="shared" si="5"/>
        <v>40.020000000000003</v>
      </c>
      <c r="T46" s="64">
        <f t="shared" si="5"/>
        <v>143886.52548871777</v>
      </c>
      <c r="U46" s="30">
        <v>17.48</v>
      </c>
      <c r="V46" s="34">
        <v>87400</v>
      </c>
      <c r="W46" s="30">
        <f t="shared" si="6"/>
        <v>3.8500000000000014</v>
      </c>
      <c r="X46" s="6">
        <f t="shared" si="7"/>
        <v>13842.156999789197</v>
      </c>
      <c r="Y46" s="4">
        <f t="shared" si="8"/>
        <v>24553.011855502526</v>
      </c>
      <c r="Z46" s="5">
        <f t="shared" si="14"/>
        <v>0.28092690910185958</v>
      </c>
      <c r="AA46" s="5">
        <v>0.28092690910186008</v>
      </c>
      <c r="AB46" s="5">
        <f t="shared" si="10"/>
        <v>-4.9960036108132044E-16</v>
      </c>
    </row>
    <row r="47" spans="1:30">
      <c r="A47" s="75" t="s">
        <v>130</v>
      </c>
      <c r="B47" s="30">
        <v>2.84</v>
      </c>
      <c r="C47" s="34">
        <v>11347.947416543186</v>
      </c>
      <c r="D47" s="82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76">
        <f t="shared" si="0"/>
        <v>0</v>
      </c>
      <c r="K47" s="77">
        <f t="shared" si="0"/>
        <v>0</v>
      </c>
      <c r="L47" s="82">
        <f t="shared" si="1"/>
        <v>2.84</v>
      </c>
      <c r="M47" s="6">
        <f t="shared" si="1"/>
        <v>11347.947416543186</v>
      </c>
      <c r="N47" s="48">
        <f t="shared" si="13"/>
        <v>3995.7561325856291</v>
      </c>
      <c r="O47" s="48">
        <v>0</v>
      </c>
      <c r="P47" s="48">
        <f t="shared" si="3"/>
        <v>0</v>
      </c>
      <c r="Q47" s="30">
        <v>0</v>
      </c>
      <c r="R47" s="34">
        <f t="shared" si="4"/>
        <v>0</v>
      </c>
      <c r="S47" s="65">
        <f t="shared" si="5"/>
        <v>0</v>
      </c>
      <c r="T47" s="64">
        <f t="shared" si="5"/>
        <v>0</v>
      </c>
      <c r="U47" s="30">
        <v>2.84</v>
      </c>
      <c r="V47" s="34">
        <v>15904</v>
      </c>
      <c r="W47" s="30">
        <f t="shared" si="6"/>
        <v>0</v>
      </c>
      <c r="X47" s="6">
        <f t="shared" si="7"/>
        <v>0</v>
      </c>
      <c r="Y47" s="4">
        <f t="shared" si="8"/>
        <v>4556.0525834568143</v>
      </c>
      <c r="Z47" s="5">
        <f t="shared" si="14"/>
        <v>0.28647211918113774</v>
      </c>
      <c r="AA47" s="5">
        <v>0</v>
      </c>
      <c r="AB47" s="5">
        <f t="shared" si="10"/>
        <v>0.28647211918113774</v>
      </c>
    </row>
    <row r="48" spans="1:30">
      <c r="A48" s="75" t="s">
        <v>131</v>
      </c>
      <c r="B48" s="30">
        <v>0.79</v>
      </c>
      <c r="C48" s="34">
        <v>4610.4541799224326</v>
      </c>
      <c r="D48" s="82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76">
        <f t="shared" si="0"/>
        <v>0</v>
      </c>
      <c r="K48" s="77">
        <f t="shared" si="0"/>
        <v>0</v>
      </c>
      <c r="L48" s="82">
        <f t="shared" si="1"/>
        <v>0.79</v>
      </c>
      <c r="M48" s="6">
        <f t="shared" si="1"/>
        <v>4610.4541799224326</v>
      </c>
      <c r="N48" s="48">
        <f t="shared" si="13"/>
        <v>5836.0179492689022</v>
      </c>
      <c r="O48" s="48">
        <v>0</v>
      </c>
      <c r="P48" s="48">
        <f t="shared" si="3"/>
        <v>0</v>
      </c>
      <c r="Q48" s="30">
        <v>0</v>
      </c>
      <c r="R48" s="34">
        <f t="shared" si="4"/>
        <v>0</v>
      </c>
      <c r="S48" s="65">
        <f t="shared" si="5"/>
        <v>0</v>
      </c>
      <c r="T48" s="64">
        <f t="shared" si="5"/>
        <v>0</v>
      </c>
      <c r="U48" s="30">
        <v>0.79</v>
      </c>
      <c r="V48" s="34">
        <v>4661</v>
      </c>
      <c r="W48" s="30">
        <f t="shared" si="6"/>
        <v>0</v>
      </c>
      <c r="X48" s="6">
        <f t="shared" si="7"/>
        <v>0</v>
      </c>
      <c r="Y48" s="4">
        <f t="shared" si="8"/>
        <v>50.545820077567441</v>
      </c>
      <c r="Z48" s="5">
        <f t="shared" si="14"/>
        <v>1.0844415378152209E-2</v>
      </c>
      <c r="AA48" s="5">
        <v>1.3258731760779973E-2</v>
      </c>
      <c r="AB48" s="5">
        <f t="shared" si="10"/>
        <v>-2.4143163826277642E-3</v>
      </c>
    </row>
    <row r="49" spans="1:28">
      <c r="A49" s="75" t="s">
        <v>132</v>
      </c>
      <c r="B49" s="30">
        <f>43.62+4.75</f>
        <v>48.37</v>
      </c>
      <c r="C49" s="34">
        <f>18782.2645931816+1896.90880964993</f>
        <v>20679.17340283153</v>
      </c>
      <c r="D49" s="82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76">
        <f t="shared" si="0"/>
        <v>0</v>
      </c>
      <c r="K49" s="77">
        <f t="shared" si="0"/>
        <v>0</v>
      </c>
      <c r="L49" s="82">
        <f t="shared" si="1"/>
        <v>48.37</v>
      </c>
      <c r="M49" s="6">
        <f t="shared" si="1"/>
        <v>20679.17340283153</v>
      </c>
      <c r="N49" s="48">
        <f t="shared" si="13"/>
        <v>427.52064095165457</v>
      </c>
      <c r="O49" s="48">
        <v>0</v>
      </c>
      <c r="P49" s="48">
        <f t="shared" si="3"/>
        <v>0</v>
      </c>
      <c r="Q49" s="30">
        <v>0</v>
      </c>
      <c r="R49" s="34">
        <f t="shared" si="4"/>
        <v>0</v>
      </c>
      <c r="S49" s="65">
        <f t="shared" si="5"/>
        <v>0</v>
      </c>
      <c r="T49" s="64">
        <f t="shared" si="5"/>
        <v>0</v>
      </c>
      <c r="U49" s="30">
        <v>48.37</v>
      </c>
      <c r="V49" s="34">
        <v>29022</v>
      </c>
      <c r="W49" s="30">
        <f t="shared" si="6"/>
        <v>0</v>
      </c>
      <c r="X49" s="6">
        <f t="shared" si="7"/>
        <v>0</v>
      </c>
      <c r="Y49" s="4">
        <f t="shared" si="8"/>
        <v>8342.8265971684705</v>
      </c>
      <c r="Z49" s="5">
        <f t="shared" si="14"/>
        <v>0.28746559841390912</v>
      </c>
      <c r="AA49" s="5">
        <v>0</v>
      </c>
      <c r="AB49" s="5">
        <f t="shared" si="10"/>
        <v>0.28746559841390912</v>
      </c>
    </row>
    <row r="50" spans="1:28">
      <c r="A50" s="75" t="s">
        <v>133</v>
      </c>
      <c r="B50" s="30">
        <v>44.36</v>
      </c>
      <c r="C50" s="34">
        <v>190928.30022773598</v>
      </c>
      <c r="D50" s="82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76">
        <f t="shared" si="0"/>
        <v>0</v>
      </c>
      <c r="K50" s="77">
        <f t="shared" si="0"/>
        <v>0</v>
      </c>
      <c r="L50" s="82">
        <f t="shared" si="1"/>
        <v>44.36</v>
      </c>
      <c r="M50" s="6">
        <f t="shared" si="1"/>
        <v>190928.30022773598</v>
      </c>
      <c r="N50" s="48">
        <f t="shared" si="13"/>
        <v>4304.0644776315594</v>
      </c>
      <c r="O50" s="48">
        <v>0</v>
      </c>
      <c r="P50" s="48">
        <f t="shared" si="3"/>
        <v>0</v>
      </c>
      <c r="Q50" s="30">
        <v>30.06</v>
      </c>
      <c r="R50" s="34">
        <f t="shared" si="4"/>
        <v>129380.17819760468</v>
      </c>
      <c r="S50" s="65">
        <f t="shared" si="5"/>
        <v>30.06</v>
      </c>
      <c r="T50" s="64">
        <f t="shared" si="5"/>
        <v>129380.17819760468</v>
      </c>
      <c r="U50" s="30">
        <v>10.479999999999999</v>
      </c>
      <c r="V50" s="34">
        <v>62880</v>
      </c>
      <c r="W50" s="30">
        <f t="shared" si="6"/>
        <v>3.8200000000000038</v>
      </c>
      <c r="X50" s="6">
        <f t="shared" si="7"/>
        <v>16441.526304552572</v>
      </c>
      <c r="Y50" s="4">
        <f t="shared" si="8"/>
        <v>17773.404274421249</v>
      </c>
      <c r="Z50" s="5">
        <f t="shared" si="14"/>
        <v>0.28265592039473997</v>
      </c>
      <c r="AA50" s="5">
        <v>0.28265592039474235</v>
      </c>
      <c r="AB50" s="5">
        <f t="shared" si="10"/>
        <v>-2.3869795029440866E-15</v>
      </c>
    </row>
    <row r="51" spans="1:28">
      <c r="A51" s="75" t="s">
        <v>134</v>
      </c>
      <c r="B51" s="30">
        <f>20.07+10.82+8.38</f>
        <v>39.270000000000003</v>
      </c>
      <c r="C51" s="34">
        <f>96264.8639388147+48757.3722748483+51537.022376502</f>
        <v>196559.258590165</v>
      </c>
      <c r="D51" s="82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76">
        <f t="shared" si="0"/>
        <v>0</v>
      </c>
      <c r="K51" s="77">
        <f t="shared" si="0"/>
        <v>0</v>
      </c>
      <c r="L51" s="82">
        <f t="shared" si="1"/>
        <v>39.270000000000003</v>
      </c>
      <c r="M51" s="6">
        <f t="shared" si="1"/>
        <v>196559.258590165</v>
      </c>
      <c r="N51" s="48">
        <f t="shared" si="13"/>
        <v>5005.328713780621</v>
      </c>
      <c r="O51" s="48">
        <v>0</v>
      </c>
      <c r="P51" s="48">
        <f t="shared" si="3"/>
        <v>0</v>
      </c>
      <c r="Q51" s="30">
        <v>25</v>
      </c>
      <c r="R51" s="34">
        <f t="shared" si="4"/>
        <v>125133.21784451553</v>
      </c>
      <c r="S51" s="65">
        <f t="shared" si="5"/>
        <v>25</v>
      </c>
      <c r="T51" s="64">
        <f t="shared" si="5"/>
        <v>125133.21784451553</v>
      </c>
      <c r="U51" s="30">
        <v>7.46</v>
      </c>
      <c r="V51" s="34">
        <v>48490</v>
      </c>
      <c r="W51" s="30">
        <f t="shared" si="6"/>
        <v>6.8100000000000023</v>
      </c>
      <c r="X51" s="6">
        <f t="shared" si="7"/>
        <v>34086.288540846042</v>
      </c>
      <c r="Y51" s="4">
        <f t="shared" si="8"/>
        <v>11150.24779519657</v>
      </c>
      <c r="Z51" s="5">
        <f t="shared" si="14"/>
        <v>0.22994942864913528</v>
      </c>
      <c r="AA51" s="5">
        <v>0.284111104129467</v>
      </c>
      <c r="AB51" s="5">
        <f t="shared" si="10"/>
        <v>-5.4161675480331711E-2</v>
      </c>
    </row>
    <row r="52" spans="1:28">
      <c r="A52" s="75" t="s">
        <v>135</v>
      </c>
      <c r="B52" s="30">
        <v>55.5</v>
      </c>
      <c r="C52" s="34">
        <v>27809.112016509032</v>
      </c>
      <c r="D52" s="82">
        <v>0</v>
      </c>
      <c r="E52" s="34">
        <v>0</v>
      </c>
      <c r="F52" s="34">
        <v>0</v>
      </c>
      <c r="G52" s="34">
        <v>0</v>
      </c>
      <c r="H52" s="83">
        <v>25.07</v>
      </c>
      <c r="I52" s="34">
        <v>12482.4978246302</v>
      </c>
      <c r="J52" s="76">
        <f t="shared" si="0"/>
        <v>25.07</v>
      </c>
      <c r="K52" s="77">
        <f t="shared" si="0"/>
        <v>12482.4978246302</v>
      </c>
      <c r="L52" s="82">
        <f t="shared" si="1"/>
        <v>80.569999999999993</v>
      </c>
      <c r="M52" s="6">
        <f t="shared" si="1"/>
        <v>40291.60984113923</v>
      </c>
      <c r="N52" s="48">
        <f t="shared" si="13"/>
        <v>500.08203848999921</v>
      </c>
      <c r="O52" s="48">
        <v>0</v>
      </c>
      <c r="P52" s="48">
        <f t="shared" si="3"/>
        <v>0</v>
      </c>
      <c r="Q52" s="30">
        <v>0</v>
      </c>
      <c r="R52" s="34">
        <f t="shared" si="4"/>
        <v>0</v>
      </c>
      <c r="S52" s="65">
        <f t="shared" si="5"/>
        <v>0</v>
      </c>
      <c r="T52" s="64">
        <f t="shared" si="5"/>
        <v>0</v>
      </c>
      <c r="U52" s="30">
        <v>74.239999999999995</v>
      </c>
      <c r="V52" s="34">
        <v>54445</v>
      </c>
      <c r="W52" s="30">
        <f t="shared" si="6"/>
        <v>6.3299999999999983</v>
      </c>
      <c r="X52" s="6">
        <f t="shared" si="7"/>
        <v>3165.519303641694</v>
      </c>
      <c r="Y52" s="4">
        <f t="shared" si="8"/>
        <v>17318.909462502466</v>
      </c>
      <c r="Z52" s="5">
        <f t="shared" si="14"/>
        <v>0.31809917278909849</v>
      </c>
      <c r="AA52" s="5">
        <v>0.28419274088779856</v>
      </c>
      <c r="AB52" s="5">
        <f t="shared" si="10"/>
        <v>3.3906431901299938E-2</v>
      </c>
    </row>
    <row r="53" spans="1:28">
      <c r="A53" s="75" t="s">
        <v>136</v>
      </c>
      <c r="B53" s="30">
        <v>38.540000000000006</v>
      </c>
      <c r="C53" s="34">
        <v>269780.00000000006</v>
      </c>
      <c r="D53" s="82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76">
        <f t="shared" si="0"/>
        <v>0</v>
      </c>
      <c r="K53" s="77">
        <f t="shared" si="0"/>
        <v>0</v>
      </c>
      <c r="L53" s="82">
        <f t="shared" si="1"/>
        <v>38.540000000000006</v>
      </c>
      <c r="M53" s="6">
        <f t="shared" si="1"/>
        <v>269780.00000000006</v>
      </c>
      <c r="N53" s="48">
        <f t="shared" si="13"/>
        <v>7000</v>
      </c>
      <c r="O53" s="48">
        <v>0</v>
      </c>
      <c r="P53" s="48">
        <f t="shared" si="3"/>
        <v>0</v>
      </c>
      <c r="Q53" s="30">
        <v>30.03</v>
      </c>
      <c r="R53" s="34">
        <f t="shared" si="4"/>
        <v>210210</v>
      </c>
      <c r="S53" s="65">
        <f t="shared" si="5"/>
        <v>30.03</v>
      </c>
      <c r="T53" s="64">
        <f t="shared" si="5"/>
        <v>210210</v>
      </c>
      <c r="U53" s="30">
        <v>8.51</v>
      </c>
      <c r="V53" s="34">
        <v>59570</v>
      </c>
      <c r="W53" s="30">
        <f t="shared" si="6"/>
        <v>0</v>
      </c>
      <c r="X53" s="6">
        <f t="shared" si="7"/>
        <v>0</v>
      </c>
      <c r="Y53" s="4">
        <f t="shared" si="8"/>
        <v>0</v>
      </c>
      <c r="Z53" s="5">
        <f t="shared" si="14"/>
        <v>0</v>
      </c>
      <c r="AA53" s="5">
        <v>0</v>
      </c>
      <c r="AB53" s="5">
        <f t="shared" si="10"/>
        <v>0</v>
      </c>
    </row>
    <row r="54" spans="1:28">
      <c r="A54" s="75" t="s">
        <v>137</v>
      </c>
      <c r="B54" s="30">
        <f>71.39+28.48</f>
        <v>99.87</v>
      </c>
      <c r="C54" s="34">
        <f>538994.007179346+155372.600795343</f>
        <v>694366.60797468899</v>
      </c>
      <c r="D54" s="82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76">
        <f t="shared" si="0"/>
        <v>0</v>
      </c>
      <c r="K54" s="77">
        <f t="shared" si="0"/>
        <v>0</v>
      </c>
      <c r="L54" s="82">
        <f t="shared" si="1"/>
        <v>99.87</v>
      </c>
      <c r="M54" s="6">
        <f t="shared" si="1"/>
        <v>694366.60797468899</v>
      </c>
      <c r="N54" s="48">
        <f t="shared" si="13"/>
        <v>6952.7045957213277</v>
      </c>
      <c r="O54" s="48">
        <v>0</v>
      </c>
      <c r="P54" s="48">
        <f t="shared" si="3"/>
        <v>0</v>
      </c>
      <c r="Q54" s="30">
        <v>75.06</v>
      </c>
      <c r="R54" s="34">
        <f t="shared" si="4"/>
        <v>521870.00695484289</v>
      </c>
      <c r="S54" s="65">
        <f t="shared" si="5"/>
        <v>75.06</v>
      </c>
      <c r="T54" s="64">
        <f t="shared" si="5"/>
        <v>521870.00695484289</v>
      </c>
      <c r="U54" s="30">
        <v>21.63</v>
      </c>
      <c r="V54" s="34">
        <v>162225</v>
      </c>
      <c r="W54" s="30">
        <f t="shared" si="6"/>
        <v>3.1800000000000068</v>
      </c>
      <c r="X54" s="6">
        <f t="shared" si="7"/>
        <v>22109.600614393868</v>
      </c>
      <c r="Y54" s="4">
        <f t="shared" si="8"/>
        <v>11837.999594547786</v>
      </c>
      <c r="Z54" s="5">
        <f t="shared" si="14"/>
        <v>7.2972720570490285E-2</v>
      </c>
      <c r="AA54" s="5">
        <v>6.5798556864355186E-3</v>
      </c>
      <c r="AB54" s="5">
        <f t="shared" si="10"/>
        <v>6.639286488405477E-2</v>
      </c>
    </row>
    <row r="55" spans="1:28">
      <c r="A55" s="75" t="s">
        <v>138</v>
      </c>
      <c r="B55" s="30">
        <v>50.31</v>
      </c>
      <c r="C55" s="34">
        <v>28923.203612258669</v>
      </c>
      <c r="D55" s="82">
        <v>0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76">
        <f t="shared" si="0"/>
        <v>0</v>
      </c>
      <c r="K55" s="77">
        <f t="shared" si="0"/>
        <v>0</v>
      </c>
      <c r="L55" s="82">
        <f t="shared" si="1"/>
        <v>50.31</v>
      </c>
      <c r="M55" s="6">
        <f t="shared" si="1"/>
        <v>28923.203612258669</v>
      </c>
      <c r="N55" s="48">
        <f t="shared" si="13"/>
        <v>574.89969414149607</v>
      </c>
      <c r="O55" s="48">
        <v>0</v>
      </c>
      <c r="P55" s="48">
        <f t="shared" si="3"/>
        <v>0</v>
      </c>
      <c r="Q55" s="30">
        <v>0</v>
      </c>
      <c r="R55" s="34">
        <f t="shared" si="4"/>
        <v>0</v>
      </c>
      <c r="S55" s="65">
        <f t="shared" si="5"/>
        <v>0</v>
      </c>
      <c r="T55" s="64">
        <f t="shared" si="5"/>
        <v>0</v>
      </c>
      <c r="U55" s="30">
        <v>46.39</v>
      </c>
      <c r="V55" s="34">
        <v>37112</v>
      </c>
      <c r="W55" s="30">
        <f t="shared" si="6"/>
        <v>3.9200000000000017</v>
      </c>
      <c r="X55" s="6">
        <f t="shared" si="7"/>
        <v>2253.6068010346658</v>
      </c>
      <c r="Y55" s="4">
        <f t="shared" si="8"/>
        <v>10442.403188775996</v>
      </c>
      <c r="Z55" s="5">
        <f t="shared" si="14"/>
        <v>0.28137538232312986</v>
      </c>
      <c r="AA55" s="5">
        <v>0.2813753823231297</v>
      </c>
      <c r="AB55" s="5">
        <f t="shared" si="10"/>
        <v>0</v>
      </c>
    </row>
    <row r="56" spans="1:28">
      <c r="A56" s="75" t="s">
        <v>139</v>
      </c>
      <c r="B56" s="30">
        <v>30.770000000000003</v>
      </c>
      <c r="C56" s="34">
        <v>177341.41266771301</v>
      </c>
      <c r="D56" s="82">
        <v>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76">
        <f t="shared" si="0"/>
        <v>0</v>
      </c>
      <c r="K56" s="77">
        <f t="shared" si="0"/>
        <v>0</v>
      </c>
      <c r="L56" s="82">
        <f t="shared" si="1"/>
        <v>30.770000000000003</v>
      </c>
      <c r="M56" s="6">
        <f t="shared" si="1"/>
        <v>177341.41266771301</v>
      </c>
      <c r="N56" s="48">
        <f t="shared" si="13"/>
        <v>5763.4518254050372</v>
      </c>
      <c r="O56" s="48">
        <v>0</v>
      </c>
      <c r="P56" s="48">
        <f t="shared" si="3"/>
        <v>0</v>
      </c>
      <c r="Q56" s="30">
        <v>25.08</v>
      </c>
      <c r="R56" s="34">
        <f t="shared" si="4"/>
        <v>144547.37178115832</v>
      </c>
      <c r="S56" s="65">
        <f t="shared" si="5"/>
        <v>25.08</v>
      </c>
      <c r="T56" s="64">
        <f t="shared" si="5"/>
        <v>144547.37178115832</v>
      </c>
      <c r="U56" s="30">
        <v>3.35</v>
      </c>
      <c r="V56" s="34">
        <v>26800</v>
      </c>
      <c r="W56" s="30">
        <f t="shared" si="6"/>
        <v>2.3400000000000034</v>
      </c>
      <c r="X56" s="6">
        <f t="shared" si="7"/>
        <v>13486.477271447806</v>
      </c>
      <c r="Y56" s="4">
        <f t="shared" si="8"/>
        <v>7492.4363848931098</v>
      </c>
      <c r="Z56" s="5">
        <f t="shared" si="14"/>
        <v>0.27956852182436975</v>
      </c>
      <c r="AA56" s="5">
        <v>0.27956852182436964</v>
      </c>
      <c r="AB56" s="5">
        <f t="shared" si="10"/>
        <v>0</v>
      </c>
    </row>
    <row r="57" spans="1:28">
      <c r="A57" s="75" t="s">
        <v>140</v>
      </c>
      <c r="B57" s="30">
        <v>54.570000000000022</v>
      </c>
      <c r="C57" s="34">
        <v>32741.500704994847</v>
      </c>
      <c r="D57" s="82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76">
        <f t="shared" si="0"/>
        <v>0</v>
      </c>
      <c r="K57" s="77">
        <f t="shared" si="0"/>
        <v>0</v>
      </c>
      <c r="L57" s="82">
        <f t="shared" si="1"/>
        <v>54.570000000000022</v>
      </c>
      <c r="M57" s="6">
        <f t="shared" si="1"/>
        <v>32741.500704994847</v>
      </c>
      <c r="N57" s="48">
        <f t="shared" si="13"/>
        <v>599.99085037556961</v>
      </c>
      <c r="O57" s="48">
        <v>0</v>
      </c>
      <c r="P57" s="48">
        <f t="shared" si="3"/>
        <v>0</v>
      </c>
      <c r="Q57" s="30">
        <v>0</v>
      </c>
      <c r="R57" s="34">
        <f t="shared" si="4"/>
        <v>0</v>
      </c>
      <c r="S57" s="65">
        <f t="shared" si="5"/>
        <v>0</v>
      </c>
      <c r="T57" s="64">
        <f t="shared" si="5"/>
        <v>0</v>
      </c>
      <c r="U57" s="30">
        <v>48.41</v>
      </c>
      <c r="V57" s="34">
        <v>41148.5</v>
      </c>
      <c r="W57" s="30">
        <f t="shared" si="6"/>
        <v>6.160000000000025</v>
      </c>
      <c r="X57" s="6">
        <f t="shared" si="7"/>
        <v>3695.9436383135239</v>
      </c>
      <c r="Y57" s="4">
        <f t="shared" si="8"/>
        <v>12102.942933318678</v>
      </c>
      <c r="Z57" s="5">
        <f t="shared" si="14"/>
        <v>0.29412841132285933</v>
      </c>
      <c r="AA57" s="5">
        <v>0.52943391422187824</v>
      </c>
      <c r="AB57" s="5">
        <f t="shared" si="10"/>
        <v>-0.23530550289901891</v>
      </c>
    </row>
    <row r="58" spans="1:28">
      <c r="A58" s="75" t="s">
        <v>141</v>
      </c>
      <c r="B58" s="30">
        <f>4.53+1.24</f>
        <v>5.7700000000000005</v>
      </c>
      <c r="C58" s="34">
        <f>7537.74124885935+38052</f>
        <v>45589.741248859347</v>
      </c>
      <c r="D58" s="82">
        <v>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76">
        <f t="shared" si="0"/>
        <v>0</v>
      </c>
      <c r="K58" s="77">
        <f t="shared" si="0"/>
        <v>0</v>
      </c>
      <c r="L58" s="82">
        <f t="shared" si="1"/>
        <v>5.7700000000000005</v>
      </c>
      <c r="M58" s="6">
        <f t="shared" si="1"/>
        <v>45589.741248859347</v>
      </c>
      <c r="N58" s="48">
        <f t="shared" si="13"/>
        <v>7901.1683273586386</v>
      </c>
      <c r="O58" s="48">
        <v>0</v>
      </c>
      <c r="P58" s="48">
        <f t="shared" si="3"/>
        <v>0</v>
      </c>
      <c r="Q58" s="30">
        <v>0</v>
      </c>
      <c r="R58" s="34">
        <f t="shared" si="4"/>
        <v>0</v>
      </c>
      <c r="S58" s="65">
        <f t="shared" si="5"/>
        <v>0</v>
      </c>
      <c r="T58" s="64">
        <f t="shared" si="5"/>
        <v>0</v>
      </c>
      <c r="U58" s="30">
        <v>5.7700000000000005</v>
      </c>
      <c r="V58" s="34">
        <v>49045</v>
      </c>
      <c r="W58" s="30">
        <f t="shared" si="6"/>
        <v>0</v>
      </c>
      <c r="X58" s="6">
        <f t="shared" si="7"/>
        <v>0</v>
      </c>
      <c r="Y58" s="4">
        <f t="shared" si="8"/>
        <v>3455.2587511406527</v>
      </c>
      <c r="Z58" s="5">
        <f t="shared" si="14"/>
        <v>7.0450785016630699E-2</v>
      </c>
      <c r="AA58" s="5">
        <v>0</v>
      </c>
      <c r="AB58" s="5">
        <f t="shared" si="10"/>
        <v>7.0450785016630699E-2</v>
      </c>
    </row>
    <row r="59" spans="1:28">
      <c r="A59" s="75" t="s">
        <v>142</v>
      </c>
      <c r="B59" s="30">
        <v>17</v>
      </c>
      <c r="C59" s="34">
        <v>11004.455772030782</v>
      </c>
      <c r="D59" s="82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76">
        <f t="shared" si="0"/>
        <v>0</v>
      </c>
      <c r="K59" s="77">
        <f t="shared" si="0"/>
        <v>0</v>
      </c>
      <c r="L59" s="82">
        <f t="shared" si="1"/>
        <v>17</v>
      </c>
      <c r="M59" s="6">
        <f t="shared" si="1"/>
        <v>11004.455772030782</v>
      </c>
      <c r="N59" s="48">
        <f t="shared" si="13"/>
        <v>647.32092776651655</v>
      </c>
      <c r="O59" s="48">
        <v>0</v>
      </c>
      <c r="P59" s="48">
        <f t="shared" si="3"/>
        <v>0</v>
      </c>
      <c r="Q59" s="30">
        <v>0</v>
      </c>
      <c r="R59" s="34">
        <f t="shared" si="4"/>
        <v>0</v>
      </c>
      <c r="S59" s="65">
        <f t="shared" si="5"/>
        <v>0</v>
      </c>
      <c r="T59" s="64">
        <f t="shared" si="5"/>
        <v>0</v>
      </c>
      <c r="U59" s="30">
        <v>3.35</v>
      </c>
      <c r="V59" s="34">
        <v>3015</v>
      </c>
      <c r="W59" s="30">
        <f t="shared" si="6"/>
        <v>13.65</v>
      </c>
      <c r="X59" s="6">
        <f t="shared" si="7"/>
        <v>8835.9306640129507</v>
      </c>
      <c r="Y59" s="4">
        <f t="shared" si="8"/>
        <v>846.47489198216863</v>
      </c>
      <c r="Z59" s="5">
        <f t="shared" si="14"/>
        <v>0.28075452470387019</v>
      </c>
      <c r="AA59" s="5">
        <v>0</v>
      </c>
      <c r="AB59" s="5">
        <f t="shared" si="10"/>
        <v>0.28075452470387019</v>
      </c>
    </row>
    <row r="60" spans="1:28">
      <c r="A60" s="75" t="s">
        <v>143</v>
      </c>
      <c r="B60" s="30">
        <v>43.6</v>
      </c>
      <c r="C60" s="34">
        <v>28473.845389013179</v>
      </c>
      <c r="D60" s="82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76">
        <f t="shared" si="0"/>
        <v>0</v>
      </c>
      <c r="K60" s="77">
        <f t="shared" si="0"/>
        <v>0</v>
      </c>
      <c r="L60" s="82">
        <f t="shared" si="1"/>
        <v>43.6</v>
      </c>
      <c r="M60" s="6">
        <f t="shared" si="1"/>
        <v>28473.845389013179</v>
      </c>
      <c r="N60" s="48">
        <f t="shared" si="13"/>
        <v>653.06984837186189</v>
      </c>
      <c r="O60" s="48">
        <v>0</v>
      </c>
      <c r="P60" s="48">
        <f t="shared" si="3"/>
        <v>0</v>
      </c>
      <c r="Q60" s="30">
        <v>25.01</v>
      </c>
      <c r="R60" s="34">
        <f t="shared" si="4"/>
        <v>16333.276907780268</v>
      </c>
      <c r="S60" s="65">
        <f t="shared" si="5"/>
        <v>25.01</v>
      </c>
      <c r="T60" s="64">
        <f t="shared" si="5"/>
        <v>16333.276907780268</v>
      </c>
      <c r="U60" s="30">
        <v>18.59</v>
      </c>
      <c r="V60" s="34">
        <v>17660.5</v>
      </c>
      <c r="W60" s="30">
        <f t="shared" si="6"/>
        <v>0</v>
      </c>
      <c r="X60" s="6">
        <f t="shared" si="7"/>
        <v>0</v>
      </c>
      <c r="Y60" s="4">
        <f t="shared" si="8"/>
        <v>5519.9315187670873</v>
      </c>
      <c r="Z60" s="5">
        <f t="shared" si="14"/>
        <v>0.31255805434540851</v>
      </c>
      <c r="AA60" s="5">
        <v>0</v>
      </c>
      <c r="AB60" s="5">
        <f t="shared" si="10"/>
        <v>0.31255805434540851</v>
      </c>
    </row>
    <row r="61" spans="1:28">
      <c r="B61" s="30"/>
      <c r="C61" s="34"/>
      <c r="D61" s="82"/>
      <c r="E61" s="34"/>
      <c r="F61" s="34"/>
      <c r="G61" s="34"/>
      <c r="H61" s="34"/>
      <c r="I61" s="34"/>
      <c r="J61" s="48"/>
      <c r="K61" s="48"/>
      <c r="L61" s="82"/>
      <c r="M61" s="6"/>
      <c r="N61" s="48"/>
      <c r="O61" s="48"/>
      <c r="P61" s="48"/>
      <c r="Q61" s="48"/>
      <c r="R61" s="48"/>
      <c r="S61" s="48"/>
      <c r="T61" s="48"/>
      <c r="U61" s="82"/>
      <c r="V61" s="6"/>
      <c r="W61" s="82"/>
      <c r="X61" s="34"/>
      <c r="AA61" s="5"/>
    </row>
    <row r="62" spans="1:28" ht="14.4" thickBot="1">
      <c r="A62" s="84" t="s">
        <v>7</v>
      </c>
      <c r="B62" s="85">
        <f t="shared" ref="B62:M62" si="15">SUM(B10:B60)</f>
        <v>12561.88</v>
      </c>
      <c r="C62" s="86">
        <f t="shared" si="15"/>
        <v>4745374.2122262893</v>
      </c>
      <c r="D62" s="85">
        <f t="shared" si="15"/>
        <v>0</v>
      </c>
      <c r="E62" s="86">
        <f t="shared" si="15"/>
        <v>0</v>
      </c>
      <c r="F62" s="85">
        <f t="shared" si="15"/>
        <v>0</v>
      </c>
      <c r="G62" s="86">
        <f t="shared" si="15"/>
        <v>0</v>
      </c>
      <c r="H62" s="85">
        <f t="shared" si="15"/>
        <v>7251.02</v>
      </c>
      <c r="I62" s="86">
        <f t="shared" si="15"/>
        <v>253705.76041027674</v>
      </c>
      <c r="J62" s="85">
        <f t="shared" si="15"/>
        <v>7251.02</v>
      </c>
      <c r="K62" s="86">
        <f t="shared" si="15"/>
        <v>253705.76041027674</v>
      </c>
      <c r="L62" s="85">
        <f t="shared" si="15"/>
        <v>19812.899999999991</v>
      </c>
      <c r="M62" s="86">
        <f t="shared" si="15"/>
        <v>4999079.9726365665</v>
      </c>
      <c r="N62" s="86"/>
      <c r="O62" s="85">
        <f t="shared" ref="O62:W62" si="16">SUM(O10:O60)</f>
        <v>0</v>
      </c>
      <c r="P62" s="86">
        <f t="shared" si="16"/>
        <v>0</v>
      </c>
      <c r="Q62" s="85">
        <f t="shared" si="16"/>
        <v>4665.6800000000012</v>
      </c>
      <c r="R62" s="86">
        <f t="shared" si="16"/>
        <v>2210414.2522794371</v>
      </c>
      <c r="S62" s="85">
        <f t="shared" si="16"/>
        <v>4665.6800000000012</v>
      </c>
      <c r="T62" s="86">
        <f t="shared" si="16"/>
        <v>2210414.2522794371</v>
      </c>
      <c r="U62" s="85">
        <f t="shared" si="16"/>
        <v>4145.7900000000027</v>
      </c>
      <c r="V62" s="86">
        <f t="shared" si="16"/>
        <v>2596585.517</v>
      </c>
      <c r="W62" s="85">
        <f t="shared" si="16"/>
        <v>11001.43</v>
      </c>
      <c r="X62" s="86">
        <f>SUM(X10:X60)</f>
        <v>923303.5853832491</v>
      </c>
      <c r="Y62" s="86">
        <f>SUM(Y10:Y61)</f>
        <v>731223.38202611892</v>
      </c>
      <c r="Z62" s="42">
        <f t="shared" ref="Z62" si="17">IF(Y62&gt;0,(Y62/V62),0)</f>
        <v>0.28160958968566829</v>
      </c>
      <c r="AA62" s="42">
        <v>0.23163647442074695</v>
      </c>
      <c r="AB62" s="87">
        <f>+Z62-AA62</f>
        <v>4.9973115264921347E-2</v>
      </c>
    </row>
    <row r="63" spans="1:28" ht="14.4" thickTop="1">
      <c r="B63" s="30"/>
      <c r="C63" s="34"/>
      <c r="D63" s="82"/>
      <c r="E63" s="34"/>
      <c r="F63" s="34"/>
      <c r="G63" s="34"/>
      <c r="H63" s="34"/>
      <c r="I63" s="34"/>
      <c r="J63" s="48"/>
      <c r="K63" s="48"/>
      <c r="L63" s="88"/>
      <c r="M63" s="89"/>
      <c r="N63" s="90"/>
      <c r="O63" s="90"/>
      <c r="P63" s="90"/>
      <c r="Q63" s="90"/>
      <c r="R63" s="90"/>
      <c r="S63" s="90"/>
      <c r="T63" s="90"/>
      <c r="U63" s="88"/>
      <c r="V63" s="89"/>
      <c r="W63" s="82"/>
      <c r="X63" s="34"/>
    </row>
    <row r="64" spans="1:28">
      <c r="V64" s="91"/>
    </row>
  </sheetData>
  <mergeCells count="14">
    <mergeCell ref="U6:V6"/>
    <mergeCell ref="W6:X6"/>
    <mergeCell ref="AA6:AA7"/>
    <mergeCell ref="AB6:AB7"/>
    <mergeCell ref="A5:X5"/>
    <mergeCell ref="B6:C6"/>
    <mergeCell ref="D6:E6"/>
    <mergeCell ref="F6:G6"/>
    <mergeCell ref="H6:I6"/>
    <mergeCell ref="J6:K6"/>
    <mergeCell ref="L6:M6"/>
    <mergeCell ref="O6:P6"/>
    <mergeCell ref="Q6:R6"/>
    <mergeCell ref="S6:T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4BC1-6881-4541-8ECD-C077D156AF21}">
  <dimension ref="A1:AB103"/>
  <sheetViews>
    <sheetView workbookViewId="0">
      <selection sqref="A1:XFD1048576"/>
    </sheetView>
  </sheetViews>
  <sheetFormatPr defaultColWidth="8.6640625" defaultRowHeight="13.8"/>
  <cols>
    <col min="1" max="1" width="12.33203125" style="1" customWidth="1"/>
    <col min="2" max="2" width="12" style="76" bestFit="1" customWidth="1"/>
    <col min="3" max="3" width="12" style="3" bestFit="1" customWidth="1"/>
    <col min="4" max="4" width="8.33203125" style="1" customWidth="1"/>
    <col min="5" max="5" width="9.33203125" style="3" customWidth="1"/>
    <col min="6" max="6" width="7.33203125" style="3" hidden="1" customWidth="1"/>
    <col min="7" max="7" width="8" style="3" hidden="1" customWidth="1"/>
    <col min="8" max="8" width="12" style="3" bestFit="1" customWidth="1"/>
    <col min="9" max="9" width="11.33203125" style="3" customWidth="1"/>
    <col min="10" max="10" width="12" style="2" hidden="1" customWidth="1"/>
    <col min="11" max="11" width="11.33203125" style="3" hidden="1" customWidth="1"/>
    <col min="12" max="12" width="12.6640625" style="1" customWidth="1"/>
    <col min="13" max="13" width="15.5546875" style="3" customWidth="1"/>
    <col min="14" max="14" width="11.33203125" style="1" customWidth="1"/>
    <col min="15" max="15" width="6" style="1" hidden="1" customWidth="1"/>
    <col min="16" max="16" width="6.6640625" style="1" hidden="1" customWidth="1"/>
    <col min="17" max="18" width="12" style="1" bestFit="1" customWidth="1"/>
    <col min="19" max="19" width="12" style="76" hidden="1" customWidth="1"/>
    <col min="20" max="20" width="12" style="1" hidden="1" customWidth="1"/>
    <col min="21" max="21" width="12" style="1" bestFit="1" customWidth="1"/>
    <col min="22" max="22" width="10.6640625" style="3" customWidth="1"/>
    <col min="23" max="23" width="12" style="1" bestFit="1" customWidth="1"/>
    <col min="24" max="24" width="14.6640625" style="3" bestFit="1" customWidth="1"/>
    <col min="25" max="25" width="11.6640625" style="4" customWidth="1"/>
    <col min="26" max="26" width="9.5546875" style="1" bestFit="1" customWidth="1"/>
    <col min="27" max="27" width="10.33203125" style="5" customWidth="1"/>
    <col min="28" max="28" width="9.33203125" style="5" bestFit="1" customWidth="1"/>
    <col min="29" max="16384" width="8.6640625" style="1"/>
  </cols>
  <sheetData>
    <row r="1" spans="1:28">
      <c r="A1" s="1" t="str">
        <f>+[1]Eme!A1</f>
        <v>Shree Jewellers Eximp Private Limited</v>
      </c>
    </row>
    <row r="2" spans="1:28">
      <c r="A2" s="1" t="str">
        <f>+[1]Eme!A2</f>
        <v>3-6-354/1,2 &amp;18 Basheerbagh Branch</v>
      </c>
      <c r="X2" s="3" t="str">
        <f>[1]Eme!X2</f>
        <v>AY 2026-2027</v>
      </c>
    </row>
    <row r="3" spans="1:28">
      <c r="A3" s="1" t="str">
        <f>+[1]Eme!A3</f>
        <v>Hyderabad - 500029</v>
      </c>
    </row>
    <row r="5" spans="1:28">
      <c r="A5" s="92" t="s">
        <v>144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28"/>
      <c r="AA5" s="28"/>
      <c r="AB5" s="28"/>
    </row>
    <row r="6" spans="1:28">
      <c r="A6" s="93"/>
      <c r="B6" s="93"/>
      <c r="C6" s="93"/>
      <c r="D6" s="93"/>
      <c r="E6" s="93"/>
      <c r="F6" s="93"/>
      <c r="G6" s="93"/>
      <c r="H6" s="93"/>
      <c r="I6" s="93"/>
      <c r="J6" s="94"/>
      <c r="K6" s="93"/>
      <c r="L6" s="93"/>
      <c r="M6" s="93"/>
      <c r="N6" s="93"/>
      <c r="O6" s="93"/>
      <c r="P6" s="93"/>
      <c r="Q6" s="93"/>
      <c r="R6" s="93"/>
      <c r="S6" s="94"/>
      <c r="T6" s="93"/>
      <c r="U6" s="93"/>
      <c r="V6" s="93"/>
      <c r="W6" s="93"/>
      <c r="X6" s="93"/>
      <c r="Y6" s="93"/>
      <c r="Z6" s="93"/>
      <c r="AA6" s="93"/>
      <c r="AB6" s="93"/>
    </row>
    <row r="7" spans="1:28" s="21" customFormat="1" ht="27.6">
      <c r="A7" s="9" t="s">
        <v>1</v>
      </c>
      <c r="B7" s="10" t="s">
        <v>2</v>
      </c>
      <c r="C7" s="10"/>
      <c r="D7" s="10" t="s">
        <v>3</v>
      </c>
      <c r="E7" s="10"/>
      <c r="F7" s="11" t="s">
        <v>4</v>
      </c>
      <c r="G7" s="12"/>
      <c r="H7" s="11" t="s">
        <v>5</v>
      </c>
      <c r="I7" s="12"/>
      <c r="J7" s="11" t="s">
        <v>6</v>
      </c>
      <c r="K7" s="12"/>
      <c r="L7" s="10" t="s">
        <v>7</v>
      </c>
      <c r="M7" s="10"/>
      <c r="N7" s="13" t="s">
        <v>8</v>
      </c>
      <c r="O7" s="11" t="s">
        <v>9</v>
      </c>
      <c r="P7" s="12"/>
      <c r="Q7" s="11" t="s">
        <v>10</v>
      </c>
      <c r="R7" s="12"/>
      <c r="S7" s="14" t="s">
        <v>11</v>
      </c>
      <c r="T7" s="15"/>
      <c r="U7" s="16" t="s">
        <v>12</v>
      </c>
      <c r="V7" s="17"/>
      <c r="W7" s="10" t="s">
        <v>13</v>
      </c>
      <c r="X7" s="10"/>
      <c r="Y7" s="18" t="s">
        <v>14</v>
      </c>
      <c r="Z7" s="20" t="s">
        <v>35</v>
      </c>
      <c r="AA7" s="20" t="str">
        <f>+[1]Eme!AA6</f>
        <v>GP AY 2025-26</v>
      </c>
      <c r="AB7" s="20" t="s">
        <v>16</v>
      </c>
    </row>
    <row r="8" spans="1:28" s="21" customFormat="1" ht="27.6">
      <c r="A8" s="22">
        <v>1</v>
      </c>
      <c r="B8" s="23" t="s">
        <v>17</v>
      </c>
      <c r="C8" s="24" t="s">
        <v>18</v>
      </c>
      <c r="D8" s="23" t="s">
        <v>19</v>
      </c>
      <c r="E8" s="24" t="s">
        <v>20</v>
      </c>
      <c r="F8" s="23" t="s">
        <v>21</v>
      </c>
      <c r="G8" s="24" t="s">
        <v>22</v>
      </c>
      <c r="H8" s="23" t="s">
        <v>21</v>
      </c>
      <c r="I8" s="24" t="s">
        <v>22</v>
      </c>
      <c r="J8" s="23" t="s">
        <v>23</v>
      </c>
      <c r="K8" s="24" t="s">
        <v>24</v>
      </c>
      <c r="L8" s="25" t="s">
        <v>25</v>
      </c>
      <c r="M8" s="24" t="s">
        <v>26</v>
      </c>
      <c r="N8" s="13" t="s">
        <v>27</v>
      </c>
      <c r="O8" s="23" t="s">
        <v>21</v>
      </c>
      <c r="P8" s="24" t="s">
        <v>22</v>
      </c>
      <c r="Q8" s="23" t="s">
        <v>21</v>
      </c>
      <c r="R8" s="24" t="s">
        <v>22</v>
      </c>
      <c r="S8" s="23" t="s">
        <v>28</v>
      </c>
      <c r="T8" s="24" t="s">
        <v>29</v>
      </c>
      <c r="U8" s="23" t="s">
        <v>30</v>
      </c>
      <c r="V8" s="24" t="s">
        <v>31</v>
      </c>
      <c r="W8" s="23" t="s">
        <v>32</v>
      </c>
      <c r="X8" s="24" t="s">
        <v>33</v>
      </c>
      <c r="Y8" s="24" t="s">
        <v>34</v>
      </c>
      <c r="Z8" s="27"/>
      <c r="AA8" s="27"/>
      <c r="AB8" s="27"/>
    </row>
    <row r="9" spans="1:28">
      <c r="A9" s="81" t="s">
        <v>145</v>
      </c>
      <c r="B9" s="82"/>
      <c r="C9" s="34"/>
      <c r="D9" s="53"/>
      <c r="E9" s="34"/>
      <c r="F9" s="34"/>
      <c r="G9" s="34"/>
      <c r="H9" s="34"/>
      <c r="I9" s="34"/>
      <c r="J9" s="49"/>
      <c r="K9" s="34"/>
      <c r="L9" s="53"/>
      <c r="M9" s="34"/>
      <c r="N9" s="48"/>
      <c r="O9" s="48"/>
      <c r="P9" s="48"/>
      <c r="Q9" s="48"/>
      <c r="R9" s="48"/>
      <c r="S9" s="49"/>
      <c r="T9" s="48"/>
      <c r="U9" s="32"/>
      <c r="V9" s="34"/>
      <c r="W9" s="32"/>
      <c r="X9" s="34"/>
    </row>
    <row r="10" spans="1:28">
      <c r="A10" s="81"/>
      <c r="B10" s="82"/>
      <c r="C10" s="34"/>
      <c r="D10" s="53"/>
      <c r="E10" s="34"/>
      <c r="F10" s="34"/>
      <c r="G10" s="34"/>
      <c r="H10" s="34"/>
      <c r="I10" s="34"/>
      <c r="J10" s="49"/>
      <c r="K10" s="34"/>
      <c r="L10" s="53"/>
      <c r="M10" s="34"/>
      <c r="N10" s="48"/>
      <c r="O10" s="48"/>
      <c r="P10" s="48"/>
      <c r="Q10" s="48"/>
      <c r="R10" s="48"/>
      <c r="S10" s="49"/>
      <c r="T10" s="48"/>
      <c r="U10" s="32"/>
      <c r="V10" s="34"/>
      <c r="W10" s="32"/>
      <c r="X10" s="34"/>
    </row>
    <row r="11" spans="1:28">
      <c r="A11" s="75" t="s">
        <v>146</v>
      </c>
      <c r="B11" s="30">
        <f>925.022+27.5+71.56</f>
        <v>1024.0820000000001</v>
      </c>
      <c r="C11" s="34">
        <f>69361.8369866991+2475+3737.47502819593</f>
        <v>75574.312014895026</v>
      </c>
      <c r="D11" s="30">
        <v>0</v>
      </c>
      <c r="E11" s="34">
        <v>0</v>
      </c>
      <c r="F11" s="34">
        <v>0</v>
      </c>
      <c r="G11" s="34">
        <v>0</v>
      </c>
      <c r="H11" s="83">
        <v>198.55400000000009</v>
      </c>
      <c r="I11" s="34">
        <v>10869.773366926111</v>
      </c>
      <c r="J11" s="49">
        <f>+F11+H11</f>
        <v>198.55400000000009</v>
      </c>
      <c r="K11" s="34">
        <f>+G11+I11</f>
        <v>10869.773366926111</v>
      </c>
      <c r="L11" s="82">
        <f>+B11+D11+J11</f>
        <v>1222.6360000000002</v>
      </c>
      <c r="M11" s="6">
        <f>+C11+E11+K11</f>
        <v>86444.085381821133</v>
      </c>
      <c r="N11" s="48">
        <f t="shared" ref="N11:N37" si="0">M11/L11</f>
        <v>70.703042755015488</v>
      </c>
      <c r="O11" s="48">
        <v>0</v>
      </c>
      <c r="P11" s="48">
        <f>+O11*N11</f>
        <v>0</v>
      </c>
      <c r="Q11" s="49">
        <v>0</v>
      </c>
      <c r="R11" s="48">
        <f>+Q11*N11</f>
        <v>0</v>
      </c>
      <c r="S11" s="76">
        <f>+O11+Q11</f>
        <v>0</v>
      </c>
      <c r="T11" s="77">
        <f>+P11+R11</f>
        <v>0</v>
      </c>
      <c r="U11" s="30">
        <v>1126.0880000000002</v>
      </c>
      <c r="V11" s="6">
        <v>112608.8</v>
      </c>
      <c r="W11" s="30">
        <f>L11-U11-S11</f>
        <v>96.548000000000002</v>
      </c>
      <c r="X11" s="6">
        <f>W11*N11</f>
        <v>6826.2373719112356</v>
      </c>
      <c r="Y11" s="4">
        <f t="shared" ref="Y11:Y37" si="1">+X11+V11+T11-M11</f>
        <v>32990.951990090107</v>
      </c>
      <c r="Z11" s="5">
        <f>IF(Y11&gt;0,(Y11/V11),0)</f>
        <v>0.29296957244984501</v>
      </c>
      <c r="AA11" s="5">
        <v>0.24758657432882722</v>
      </c>
      <c r="AB11" s="5">
        <f>Z11-AA11</f>
        <v>4.5382998121017787E-2</v>
      </c>
    </row>
    <row r="12" spans="1:28">
      <c r="A12" s="75" t="s">
        <v>147</v>
      </c>
      <c r="B12" s="30">
        <f>723.831+255.718</f>
        <v>979.54899999999998</v>
      </c>
      <c r="C12" s="34">
        <f>723831+250603.46951565</f>
        <v>974434.46951565007</v>
      </c>
      <c r="D12" s="30">
        <v>0</v>
      </c>
      <c r="E12" s="34">
        <v>0</v>
      </c>
      <c r="F12" s="34">
        <v>0</v>
      </c>
      <c r="G12" s="34">
        <v>0</v>
      </c>
      <c r="H12" s="83">
        <v>0</v>
      </c>
      <c r="I12" s="34">
        <v>0</v>
      </c>
      <c r="J12" s="49">
        <f t="shared" ref="J12:K37" si="2">+F12+H12</f>
        <v>0</v>
      </c>
      <c r="K12" s="34">
        <f t="shared" si="2"/>
        <v>0</v>
      </c>
      <c r="L12" s="82">
        <f>+B12+D12+J12</f>
        <v>979.54899999999998</v>
      </c>
      <c r="M12" s="6">
        <f t="shared" ref="M12:M37" si="3">+C12+E12+K12</f>
        <v>974434.46951565007</v>
      </c>
      <c r="N12" s="48">
        <f t="shared" si="0"/>
        <v>994.77868847362413</v>
      </c>
      <c r="O12" s="48">
        <v>0</v>
      </c>
      <c r="P12" s="48">
        <f t="shared" ref="P12:P37" si="4">+O12*N12</f>
        <v>0</v>
      </c>
      <c r="Q12" s="49">
        <v>901.02</v>
      </c>
      <c r="R12" s="48">
        <f t="shared" ref="R12:R37" si="5">+Q12*N12</f>
        <v>896315.4938885048</v>
      </c>
      <c r="S12" s="76">
        <f t="shared" ref="S12:T37" si="6">+O12+Q12</f>
        <v>901.02</v>
      </c>
      <c r="T12" s="77">
        <f t="shared" si="6"/>
        <v>896315.4938885048</v>
      </c>
      <c r="U12" s="30">
        <v>51.583999999999996</v>
      </c>
      <c r="V12" s="6">
        <v>51584</v>
      </c>
      <c r="W12" s="30">
        <f t="shared" ref="W12:W37" si="7">L12-U12-S12</f>
        <v>26.94500000000005</v>
      </c>
      <c r="X12" s="6">
        <f t="shared" ref="X12:X37" si="8">W12*N12</f>
        <v>26804.311760921853</v>
      </c>
      <c r="Y12" s="4">
        <f t="shared" si="1"/>
        <v>269.33613377658185</v>
      </c>
      <c r="Z12" s="5">
        <f>IF(Y12&gt;0,(Y12/V12),0)</f>
        <v>5.2213115263760436E-3</v>
      </c>
      <c r="AA12" s="5">
        <v>0</v>
      </c>
      <c r="AB12" s="5">
        <f>Z12-AA12</f>
        <v>5.2213115263760436E-3</v>
      </c>
    </row>
    <row r="13" spans="1:28">
      <c r="A13" s="75" t="s">
        <v>148</v>
      </c>
      <c r="B13" s="30">
        <v>1175.2339999999999</v>
      </c>
      <c r="C13" s="34">
        <v>1233995.498835475</v>
      </c>
      <c r="D13" s="30">
        <v>0</v>
      </c>
      <c r="E13" s="34">
        <v>0</v>
      </c>
      <c r="F13" s="34">
        <v>0</v>
      </c>
      <c r="G13" s="34">
        <v>0</v>
      </c>
      <c r="H13" s="83">
        <v>0</v>
      </c>
      <c r="I13" s="34">
        <v>0</v>
      </c>
      <c r="J13" s="49">
        <f t="shared" si="2"/>
        <v>0</v>
      </c>
      <c r="K13" s="34">
        <f t="shared" si="2"/>
        <v>0</v>
      </c>
      <c r="L13" s="82">
        <f t="shared" ref="L13:L37" si="9">+B13+D13+J13</f>
        <v>1175.2339999999999</v>
      </c>
      <c r="M13" s="6">
        <f t="shared" si="3"/>
        <v>1233995.498835475</v>
      </c>
      <c r="N13" s="48">
        <f t="shared" si="0"/>
        <v>1049.9998288302372</v>
      </c>
      <c r="O13" s="48">
        <v>0</v>
      </c>
      <c r="P13" s="48">
        <f t="shared" si="4"/>
        <v>0</v>
      </c>
      <c r="Q13" s="49">
        <v>1102.0899999999999</v>
      </c>
      <c r="R13" s="48">
        <f t="shared" si="5"/>
        <v>1157194.3113555161</v>
      </c>
      <c r="S13" s="76">
        <f t="shared" si="6"/>
        <v>1102.0899999999999</v>
      </c>
      <c r="T13" s="77">
        <f t="shared" si="6"/>
        <v>1157194.3113555161</v>
      </c>
      <c r="U13" s="30">
        <v>24.7</v>
      </c>
      <c r="V13" s="6">
        <v>27170</v>
      </c>
      <c r="W13" s="30">
        <f t="shared" si="7"/>
        <v>48.44399999999996</v>
      </c>
      <c r="X13" s="6">
        <f t="shared" si="8"/>
        <v>50866.191707851969</v>
      </c>
      <c r="Y13" s="4">
        <f t="shared" si="1"/>
        <v>1235.0042278931942</v>
      </c>
      <c r="Z13" s="5">
        <f t="shared" ref="Z13:Z37" si="10">IF(Y13&gt;0,(Y13/V13),0)</f>
        <v>4.5454701063422677E-2</v>
      </c>
      <c r="AA13" s="5">
        <v>1.2097594429088705E-2</v>
      </c>
      <c r="AB13" s="5">
        <f t="shared" ref="AB13:AB39" si="11">Z13-AA13</f>
        <v>3.3357106634333972E-2</v>
      </c>
    </row>
    <row r="14" spans="1:28">
      <c r="A14" s="75" t="s">
        <v>149</v>
      </c>
      <c r="B14" s="30">
        <v>4.1550000000000002</v>
      </c>
      <c r="C14" s="34">
        <v>4985.9999999999991</v>
      </c>
      <c r="D14" s="30">
        <v>0</v>
      </c>
      <c r="E14" s="34">
        <v>0</v>
      </c>
      <c r="F14" s="34">
        <v>0</v>
      </c>
      <c r="G14" s="34">
        <v>0</v>
      </c>
      <c r="H14" s="83">
        <v>0</v>
      </c>
      <c r="I14" s="34">
        <v>0</v>
      </c>
      <c r="J14" s="49">
        <f t="shared" si="2"/>
        <v>0</v>
      </c>
      <c r="K14" s="34">
        <f t="shared" si="2"/>
        <v>0</v>
      </c>
      <c r="L14" s="82">
        <f t="shared" si="9"/>
        <v>4.1550000000000002</v>
      </c>
      <c r="M14" s="6">
        <f t="shared" si="3"/>
        <v>4985.9999999999991</v>
      </c>
      <c r="N14" s="48">
        <f t="shared" si="0"/>
        <v>1199.9999999999998</v>
      </c>
      <c r="O14" s="48">
        <v>0</v>
      </c>
      <c r="P14" s="48">
        <f t="shared" si="4"/>
        <v>0</v>
      </c>
      <c r="Q14" s="49">
        <v>0</v>
      </c>
      <c r="R14" s="48">
        <f t="shared" si="5"/>
        <v>0</v>
      </c>
      <c r="S14" s="76">
        <f t="shared" si="6"/>
        <v>0</v>
      </c>
      <c r="T14" s="77">
        <f t="shared" si="6"/>
        <v>0</v>
      </c>
      <c r="U14" s="30">
        <v>4.1550000000000002</v>
      </c>
      <c r="V14" s="6">
        <v>4986</v>
      </c>
      <c r="W14" s="30">
        <f t="shared" si="7"/>
        <v>0</v>
      </c>
      <c r="X14" s="6">
        <f t="shared" si="8"/>
        <v>0</v>
      </c>
      <c r="Y14" s="4">
        <f t="shared" si="1"/>
        <v>0</v>
      </c>
      <c r="Z14" s="5">
        <f t="shared" si="10"/>
        <v>0</v>
      </c>
      <c r="AA14" s="5">
        <v>0</v>
      </c>
      <c r="AB14" s="5">
        <f t="shared" si="11"/>
        <v>0</v>
      </c>
    </row>
    <row r="15" spans="1:28">
      <c r="A15" s="75" t="s">
        <v>150</v>
      </c>
      <c r="B15" s="30">
        <v>25.136000000000003</v>
      </c>
      <c r="C15" s="34">
        <v>22554.686203667552</v>
      </c>
      <c r="D15" s="30">
        <v>0</v>
      </c>
      <c r="E15" s="34">
        <v>0</v>
      </c>
      <c r="F15" s="34">
        <v>0</v>
      </c>
      <c r="G15" s="34">
        <v>0</v>
      </c>
      <c r="H15" s="83">
        <v>0</v>
      </c>
      <c r="I15" s="34">
        <v>0</v>
      </c>
      <c r="J15" s="49">
        <f t="shared" si="2"/>
        <v>0</v>
      </c>
      <c r="K15" s="34">
        <f t="shared" si="2"/>
        <v>0</v>
      </c>
      <c r="L15" s="82">
        <f t="shared" si="9"/>
        <v>25.136000000000003</v>
      </c>
      <c r="M15" s="6">
        <f t="shared" si="3"/>
        <v>22554.686203667552</v>
      </c>
      <c r="N15" s="48">
        <f t="shared" si="0"/>
        <v>897.30610294667213</v>
      </c>
      <c r="O15" s="48">
        <v>0</v>
      </c>
      <c r="P15" s="48">
        <f t="shared" si="4"/>
        <v>0</v>
      </c>
      <c r="Q15" s="49">
        <v>0</v>
      </c>
      <c r="R15" s="48">
        <f t="shared" si="5"/>
        <v>0</v>
      </c>
      <c r="S15" s="76">
        <f t="shared" si="6"/>
        <v>0</v>
      </c>
      <c r="T15" s="77">
        <f t="shared" si="6"/>
        <v>0</v>
      </c>
      <c r="U15" s="30">
        <v>6.46</v>
      </c>
      <c r="V15" s="6">
        <v>8398</v>
      </c>
      <c r="W15" s="30">
        <f t="shared" si="7"/>
        <v>18.676000000000002</v>
      </c>
      <c r="X15" s="6">
        <f t="shared" si="8"/>
        <v>16758.088778632049</v>
      </c>
      <c r="Y15" s="4">
        <f t="shared" si="1"/>
        <v>2601.402574964497</v>
      </c>
      <c r="Z15" s="5">
        <f t="shared" si="10"/>
        <v>0.30976453619486749</v>
      </c>
      <c r="AA15" s="5">
        <v>0.34515190268802404</v>
      </c>
      <c r="AB15" s="5">
        <f t="shared" si="11"/>
        <v>-3.5387366493156547E-2</v>
      </c>
    </row>
    <row r="16" spans="1:28">
      <c r="A16" s="75" t="s">
        <v>151</v>
      </c>
      <c r="B16" s="30">
        <v>8.5670000000000002</v>
      </c>
      <c r="C16" s="34">
        <v>9140.5056682909017</v>
      </c>
      <c r="D16" s="30">
        <v>0</v>
      </c>
      <c r="E16" s="34">
        <v>0</v>
      </c>
      <c r="F16" s="34">
        <v>0</v>
      </c>
      <c r="G16" s="34">
        <v>0</v>
      </c>
      <c r="H16" s="83">
        <v>0</v>
      </c>
      <c r="I16" s="34">
        <v>0</v>
      </c>
      <c r="J16" s="49">
        <f t="shared" si="2"/>
        <v>0</v>
      </c>
      <c r="K16" s="34">
        <f t="shared" si="2"/>
        <v>0</v>
      </c>
      <c r="L16" s="82">
        <f t="shared" si="9"/>
        <v>8.5670000000000002</v>
      </c>
      <c r="M16" s="6">
        <f t="shared" si="3"/>
        <v>9140.5056682909017</v>
      </c>
      <c r="N16" s="48">
        <f t="shared" si="0"/>
        <v>1066.9435821513835</v>
      </c>
      <c r="O16" s="48">
        <v>0</v>
      </c>
      <c r="P16" s="48">
        <f t="shared" si="4"/>
        <v>0</v>
      </c>
      <c r="Q16" s="49">
        <v>0</v>
      </c>
      <c r="R16" s="48">
        <f t="shared" si="5"/>
        <v>0</v>
      </c>
      <c r="S16" s="76">
        <f t="shared" si="6"/>
        <v>0</v>
      </c>
      <c r="T16" s="77">
        <f t="shared" si="6"/>
        <v>0</v>
      </c>
      <c r="U16" s="30">
        <v>8.5670000000000002</v>
      </c>
      <c r="V16" s="6">
        <v>11993.800000000001</v>
      </c>
      <c r="W16" s="30">
        <f t="shared" si="7"/>
        <v>0</v>
      </c>
      <c r="X16" s="6">
        <f t="shared" si="8"/>
        <v>0</v>
      </c>
      <c r="Y16" s="4">
        <f t="shared" si="1"/>
        <v>2853.2943317090994</v>
      </c>
      <c r="Z16" s="5">
        <f t="shared" si="10"/>
        <v>0.23789744132044049</v>
      </c>
      <c r="AA16" s="5">
        <v>0.29172470139625378</v>
      </c>
      <c r="AB16" s="5">
        <f t="shared" si="11"/>
        <v>-5.3827260075813288E-2</v>
      </c>
    </row>
    <row r="17" spans="1:28">
      <c r="A17" s="75" t="s">
        <v>152</v>
      </c>
      <c r="B17" s="30">
        <f>19.672+0.88</f>
        <v>20.552</v>
      </c>
      <c r="C17" s="34">
        <f>1967.18890148724+97.0266005531461</f>
        <v>2064.2155020403861</v>
      </c>
      <c r="D17" s="30">
        <v>0</v>
      </c>
      <c r="E17" s="34">
        <v>0</v>
      </c>
      <c r="F17" s="34">
        <v>0</v>
      </c>
      <c r="G17" s="34">
        <v>0</v>
      </c>
      <c r="H17" s="83">
        <v>6.17</v>
      </c>
      <c r="I17" s="34">
        <v>637.06090776200131</v>
      </c>
      <c r="J17" s="49">
        <f>+F17+H17</f>
        <v>6.17</v>
      </c>
      <c r="K17" s="34">
        <f>+G17+I17</f>
        <v>637.06090776200131</v>
      </c>
      <c r="L17" s="82">
        <f>+B17+D17+J17</f>
        <v>26.722000000000001</v>
      </c>
      <c r="M17" s="6">
        <f>+C17+E17+K17</f>
        <v>2701.2764098023872</v>
      </c>
      <c r="N17" s="48">
        <f>M17/L17</f>
        <v>101.08810754443482</v>
      </c>
      <c r="O17" s="48">
        <v>0</v>
      </c>
      <c r="P17" s="48">
        <f>+O17*N17</f>
        <v>0</v>
      </c>
      <c r="Q17" s="49">
        <v>0</v>
      </c>
      <c r="R17" s="48">
        <f>+Q17*N17</f>
        <v>0</v>
      </c>
      <c r="S17" s="76">
        <f>+O17+Q17</f>
        <v>0</v>
      </c>
      <c r="T17" s="77">
        <f>+P17+R17</f>
        <v>0</v>
      </c>
      <c r="U17" s="30">
        <v>26.722000000000001</v>
      </c>
      <c r="V17" s="6">
        <v>3933.3</v>
      </c>
      <c r="W17" s="30">
        <f>L17-U17-S17</f>
        <v>0</v>
      </c>
      <c r="X17" s="6">
        <f>W17*N17</f>
        <v>0</v>
      </c>
      <c r="Y17" s="4">
        <f>+X17+V17+T17-M17</f>
        <v>1232.023590197613</v>
      </c>
      <c r="Z17" s="5">
        <f>IF(Y17&gt;0,(Y17/V17),0)</f>
        <v>0.3132289909738929</v>
      </c>
      <c r="AA17" s="5">
        <v>0.28571831555828492</v>
      </c>
      <c r="AB17" s="5">
        <f>Z17-AA17</f>
        <v>2.7510675415607977E-2</v>
      </c>
    </row>
    <row r="18" spans="1:28">
      <c r="A18" s="75" t="s">
        <v>153</v>
      </c>
      <c r="B18" s="30">
        <v>13.03</v>
      </c>
      <c r="C18" s="34">
        <v>14240.448200992554</v>
      </c>
      <c r="D18" s="30">
        <v>0</v>
      </c>
      <c r="E18" s="34">
        <v>0</v>
      </c>
      <c r="F18" s="34">
        <v>0</v>
      </c>
      <c r="G18" s="34">
        <v>0</v>
      </c>
      <c r="H18" s="83">
        <v>0</v>
      </c>
      <c r="I18" s="34">
        <v>0</v>
      </c>
      <c r="J18" s="49">
        <f t="shared" si="2"/>
        <v>0</v>
      </c>
      <c r="K18" s="34">
        <f t="shared" si="2"/>
        <v>0</v>
      </c>
      <c r="L18" s="82">
        <f t="shared" ref="L18:M18" si="12">+B18+D18+J18</f>
        <v>13.03</v>
      </c>
      <c r="M18" s="6">
        <f t="shared" si="12"/>
        <v>14240.448200992554</v>
      </c>
      <c r="N18" s="48">
        <f t="shared" ref="N18" si="13">M18/L18</f>
        <v>1092.8970223325061</v>
      </c>
      <c r="O18" s="48">
        <v>0</v>
      </c>
      <c r="P18" s="48">
        <f t="shared" si="4"/>
        <v>0</v>
      </c>
      <c r="Q18" s="49">
        <v>0</v>
      </c>
      <c r="R18" s="48">
        <f t="shared" si="5"/>
        <v>0</v>
      </c>
      <c r="S18" s="76">
        <f t="shared" si="6"/>
        <v>0</v>
      </c>
      <c r="T18" s="77">
        <f t="shared" si="6"/>
        <v>0</v>
      </c>
      <c r="U18" s="30">
        <v>13.03</v>
      </c>
      <c r="V18" s="6">
        <v>19545</v>
      </c>
      <c r="W18" s="30">
        <f t="shared" si="7"/>
        <v>0</v>
      </c>
      <c r="X18" s="6">
        <f t="shared" si="8"/>
        <v>0</v>
      </c>
      <c r="Y18" s="4">
        <f t="shared" si="1"/>
        <v>5304.5517990074459</v>
      </c>
      <c r="Z18" s="5">
        <f t="shared" ref="Z18" si="14">IF(Y18&gt;0,(Y18/V18),0)</f>
        <v>0.27140198511166264</v>
      </c>
      <c r="AA18" s="5">
        <v>0</v>
      </c>
      <c r="AB18" s="5">
        <f t="shared" ref="AB18" si="15">Z18-AA18</f>
        <v>0.27140198511166264</v>
      </c>
    </row>
    <row r="19" spans="1:28">
      <c r="A19" s="75" t="s">
        <v>154</v>
      </c>
      <c r="B19" s="30">
        <v>24.300000000000004</v>
      </c>
      <c r="C19" s="34">
        <v>39061.784362475308</v>
      </c>
      <c r="D19" s="30">
        <v>0</v>
      </c>
      <c r="E19" s="34">
        <v>0</v>
      </c>
      <c r="F19" s="34">
        <v>0</v>
      </c>
      <c r="G19" s="34">
        <v>0</v>
      </c>
      <c r="H19" s="83">
        <v>0</v>
      </c>
      <c r="I19" s="34">
        <v>0</v>
      </c>
      <c r="J19" s="49">
        <f t="shared" si="2"/>
        <v>0</v>
      </c>
      <c r="K19" s="34">
        <f t="shared" si="2"/>
        <v>0</v>
      </c>
      <c r="L19" s="82">
        <f t="shared" si="9"/>
        <v>24.300000000000004</v>
      </c>
      <c r="M19" s="6">
        <f t="shared" si="3"/>
        <v>39061.784362475308</v>
      </c>
      <c r="N19" s="48">
        <f t="shared" si="0"/>
        <v>1607.4808379619465</v>
      </c>
      <c r="O19" s="48">
        <v>0</v>
      </c>
      <c r="P19" s="48">
        <f t="shared" si="4"/>
        <v>0</v>
      </c>
      <c r="Q19" s="49">
        <v>0</v>
      </c>
      <c r="R19" s="48">
        <f t="shared" si="5"/>
        <v>0</v>
      </c>
      <c r="S19" s="76">
        <f t="shared" si="6"/>
        <v>0</v>
      </c>
      <c r="T19" s="77">
        <f t="shared" si="6"/>
        <v>0</v>
      </c>
      <c r="U19" s="30">
        <v>12.99</v>
      </c>
      <c r="V19" s="6">
        <v>23382</v>
      </c>
      <c r="W19" s="30">
        <f t="shared" si="7"/>
        <v>11.310000000000004</v>
      </c>
      <c r="X19" s="6">
        <f t="shared" si="8"/>
        <v>18180.60827734962</v>
      </c>
      <c r="Y19" s="4">
        <f t="shared" si="1"/>
        <v>2500.8239148743087</v>
      </c>
      <c r="Z19" s="5">
        <f t="shared" si="10"/>
        <v>0.10695509002114056</v>
      </c>
      <c r="AA19" s="5">
        <v>8.5551629942621832E-2</v>
      </c>
      <c r="AB19" s="5">
        <f t="shared" si="11"/>
        <v>2.1403460078518732E-2</v>
      </c>
    </row>
    <row r="20" spans="1:28">
      <c r="A20" s="75" t="s">
        <v>155</v>
      </c>
      <c r="B20" s="30">
        <v>2.218</v>
      </c>
      <c r="C20" s="34">
        <v>4214.179649509123</v>
      </c>
      <c r="D20" s="30">
        <v>0</v>
      </c>
      <c r="E20" s="34">
        <v>0</v>
      </c>
      <c r="F20" s="34">
        <v>0</v>
      </c>
      <c r="G20" s="34">
        <v>0</v>
      </c>
      <c r="H20" s="83">
        <v>0</v>
      </c>
      <c r="I20" s="34">
        <v>0</v>
      </c>
      <c r="J20" s="49">
        <f t="shared" si="2"/>
        <v>0</v>
      </c>
      <c r="K20" s="34">
        <f t="shared" si="2"/>
        <v>0</v>
      </c>
      <c r="L20" s="82">
        <f t="shared" si="9"/>
        <v>2.218</v>
      </c>
      <c r="M20" s="6">
        <f t="shared" si="3"/>
        <v>4214.179649509123</v>
      </c>
      <c r="N20" s="48">
        <f t="shared" si="0"/>
        <v>1899.9908248463134</v>
      </c>
      <c r="O20" s="48">
        <v>0</v>
      </c>
      <c r="P20" s="48">
        <f t="shared" si="4"/>
        <v>0</v>
      </c>
      <c r="Q20" s="49">
        <v>0</v>
      </c>
      <c r="R20" s="48">
        <f t="shared" si="5"/>
        <v>0</v>
      </c>
      <c r="S20" s="76">
        <f t="shared" si="6"/>
        <v>0</v>
      </c>
      <c r="T20" s="77">
        <f t="shared" si="6"/>
        <v>0</v>
      </c>
      <c r="U20" s="30">
        <v>2.218</v>
      </c>
      <c r="V20" s="6">
        <v>4214.2</v>
      </c>
      <c r="W20" s="30">
        <f t="shared" si="7"/>
        <v>0</v>
      </c>
      <c r="X20" s="6">
        <f t="shared" si="8"/>
        <v>0</v>
      </c>
      <c r="Y20" s="4">
        <f t="shared" si="1"/>
        <v>2.035049087680818E-2</v>
      </c>
      <c r="Z20" s="5">
        <f t="shared" si="10"/>
        <v>4.8290282560885055E-6</v>
      </c>
      <c r="AA20" s="5">
        <v>4.8290282545491747E-6</v>
      </c>
      <c r="AB20" s="5">
        <f t="shared" si="11"/>
        <v>1.5393307627371323E-15</v>
      </c>
    </row>
    <row r="21" spans="1:28">
      <c r="A21" s="75" t="s">
        <v>156</v>
      </c>
      <c r="B21" s="30">
        <v>226.36199999999997</v>
      </c>
      <c r="C21" s="34">
        <v>31690.662644462718</v>
      </c>
      <c r="D21" s="30">
        <v>0</v>
      </c>
      <c r="E21" s="34">
        <v>0</v>
      </c>
      <c r="F21" s="34">
        <v>0</v>
      </c>
      <c r="G21" s="34">
        <v>0</v>
      </c>
      <c r="H21" s="83">
        <v>457.21400000000017</v>
      </c>
      <c r="I21" s="34">
        <v>58805.521953956115</v>
      </c>
      <c r="J21" s="49">
        <f t="shared" si="2"/>
        <v>457.21400000000017</v>
      </c>
      <c r="K21" s="34">
        <f t="shared" si="2"/>
        <v>58805.521953956115</v>
      </c>
      <c r="L21" s="82">
        <f t="shared" si="9"/>
        <v>683.57600000000014</v>
      </c>
      <c r="M21" s="6">
        <f t="shared" si="3"/>
        <v>90496.184598418826</v>
      </c>
      <c r="N21" s="48">
        <f t="shared" si="0"/>
        <v>132.38642754926857</v>
      </c>
      <c r="O21" s="48">
        <v>0</v>
      </c>
      <c r="P21" s="48">
        <f t="shared" si="4"/>
        <v>0</v>
      </c>
      <c r="Q21" s="49">
        <v>0</v>
      </c>
      <c r="R21" s="48">
        <f t="shared" si="5"/>
        <v>0</v>
      </c>
      <c r="S21" s="76">
        <f t="shared" si="6"/>
        <v>0</v>
      </c>
      <c r="T21" s="77">
        <f t="shared" si="6"/>
        <v>0</v>
      </c>
      <c r="U21" s="30">
        <v>467.15400000000005</v>
      </c>
      <c r="V21" s="6">
        <v>93430.8</v>
      </c>
      <c r="W21" s="30">
        <f t="shared" si="7"/>
        <v>216.42200000000008</v>
      </c>
      <c r="X21" s="6">
        <f t="shared" si="8"/>
        <v>28651.335423067816</v>
      </c>
      <c r="Y21" s="4">
        <f t="shared" si="1"/>
        <v>31585.950824648986</v>
      </c>
      <c r="Z21" s="5">
        <f t="shared" si="10"/>
        <v>0.33806786225365709</v>
      </c>
      <c r="AA21" s="5">
        <v>0.30000038335801177</v>
      </c>
      <c r="AB21" s="5">
        <f t="shared" si="11"/>
        <v>3.8067478895645324E-2</v>
      </c>
    </row>
    <row r="22" spans="1:28">
      <c r="A22" s="75" t="s">
        <v>157</v>
      </c>
      <c r="B22" s="30">
        <v>172.67400000000001</v>
      </c>
      <c r="C22" s="34">
        <v>246753.41681866016</v>
      </c>
      <c r="D22" s="30">
        <v>0</v>
      </c>
      <c r="E22" s="34">
        <v>0</v>
      </c>
      <c r="F22" s="34">
        <v>0</v>
      </c>
      <c r="G22" s="34">
        <v>0</v>
      </c>
      <c r="H22" s="83">
        <v>0</v>
      </c>
      <c r="I22" s="34">
        <v>0</v>
      </c>
      <c r="J22" s="49">
        <f t="shared" si="2"/>
        <v>0</v>
      </c>
      <c r="K22" s="34">
        <f t="shared" si="2"/>
        <v>0</v>
      </c>
      <c r="L22" s="82">
        <f t="shared" si="9"/>
        <v>172.67400000000001</v>
      </c>
      <c r="M22" s="6">
        <f t="shared" si="3"/>
        <v>246753.41681866016</v>
      </c>
      <c r="N22" s="48">
        <f t="shared" si="0"/>
        <v>1429.0131509008893</v>
      </c>
      <c r="O22" s="48">
        <v>0</v>
      </c>
      <c r="P22" s="48">
        <f t="shared" si="4"/>
        <v>0</v>
      </c>
      <c r="Q22" s="49">
        <v>43.17</v>
      </c>
      <c r="R22" s="48">
        <f t="shared" si="5"/>
        <v>61690.497724391396</v>
      </c>
      <c r="S22" s="76">
        <f t="shared" si="6"/>
        <v>43.17</v>
      </c>
      <c r="T22" s="77">
        <f t="shared" si="6"/>
        <v>61690.497724391396</v>
      </c>
      <c r="U22" s="30">
        <v>75.311999999999983</v>
      </c>
      <c r="V22" s="6">
        <v>150624</v>
      </c>
      <c r="W22" s="30">
        <f t="shared" si="7"/>
        <v>54.192000000000021</v>
      </c>
      <c r="X22" s="6">
        <f t="shared" si="8"/>
        <v>77441.080673621022</v>
      </c>
      <c r="Y22" s="4">
        <f t="shared" si="1"/>
        <v>43002.16157935228</v>
      </c>
      <c r="Z22" s="5">
        <f t="shared" si="10"/>
        <v>0.28549342454955573</v>
      </c>
      <c r="AA22" s="5">
        <v>0.28549342454955257</v>
      </c>
      <c r="AB22" s="5">
        <f t="shared" si="11"/>
        <v>3.1641356201816961E-15</v>
      </c>
    </row>
    <row r="23" spans="1:28">
      <c r="A23" s="75" t="s">
        <v>158</v>
      </c>
      <c r="B23" s="30">
        <v>56.821999999999989</v>
      </c>
      <c r="C23" s="34">
        <v>90927.82407558008</v>
      </c>
      <c r="D23" s="30">
        <v>0</v>
      </c>
      <c r="E23" s="34">
        <v>0</v>
      </c>
      <c r="F23" s="34">
        <v>0</v>
      </c>
      <c r="G23" s="34">
        <v>0</v>
      </c>
      <c r="H23" s="83">
        <v>0</v>
      </c>
      <c r="I23" s="34">
        <v>0</v>
      </c>
      <c r="J23" s="49">
        <f t="shared" si="2"/>
        <v>0</v>
      </c>
      <c r="K23" s="34">
        <f t="shared" si="2"/>
        <v>0</v>
      </c>
      <c r="L23" s="82">
        <f t="shared" si="9"/>
        <v>56.821999999999989</v>
      </c>
      <c r="M23" s="6">
        <f t="shared" si="3"/>
        <v>90927.82407558008</v>
      </c>
      <c r="N23" s="48">
        <f t="shared" si="0"/>
        <v>1600.2221688004663</v>
      </c>
      <c r="O23" s="48">
        <v>0</v>
      </c>
      <c r="P23" s="48">
        <f t="shared" si="4"/>
        <v>0</v>
      </c>
      <c r="Q23" s="49">
        <v>40.590000000000003</v>
      </c>
      <c r="R23" s="48">
        <f t="shared" si="5"/>
        <v>64953.01783161093</v>
      </c>
      <c r="S23" s="76">
        <f t="shared" si="6"/>
        <v>40.590000000000003</v>
      </c>
      <c r="T23" s="77">
        <f t="shared" si="6"/>
        <v>64953.01783161093</v>
      </c>
      <c r="U23" s="30">
        <v>1.66</v>
      </c>
      <c r="V23" s="6">
        <v>3818</v>
      </c>
      <c r="W23" s="30">
        <f t="shared" si="7"/>
        <v>14.571999999999989</v>
      </c>
      <c r="X23" s="6">
        <f t="shared" si="8"/>
        <v>23318.437443760376</v>
      </c>
      <c r="Y23" s="4">
        <f t="shared" si="1"/>
        <v>1161.6311997912271</v>
      </c>
      <c r="Z23" s="5">
        <f t="shared" si="10"/>
        <v>0.30425123095631929</v>
      </c>
      <c r="AA23" s="5">
        <v>0.43497830105405993</v>
      </c>
      <c r="AB23" s="5">
        <f t="shared" si="11"/>
        <v>-0.13072707009774065</v>
      </c>
    </row>
    <row r="24" spans="1:28">
      <c r="A24" s="75" t="s">
        <v>159</v>
      </c>
      <c r="B24" s="30">
        <v>1814.4250000000002</v>
      </c>
      <c r="C24" s="34">
        <v>381029.10306038993</v>
      </c>
      <c r="D24" s="30">
        <v>0</v>
      </c>
      <c r="E24" s="34">
        <v>0</v>
      </c>
      <c r="F24" s="34">
        <v>0</v>
      </c>
      <c r="G24" s="34">
        <v>0</v>
      </c>
      <c r="H24" s="83">
        <v>0</v>
      </c>
      <c r="I24" s="34">
        <v>0</v>
      </c>
      <c r="J24" s="49">
        <f t="shared" si="2"/>
        <v>0</v>
      </c>
      <c r="K24" s="34">
        <f t="shared" si="2"/>
        <v>0</v>
      </c>
      <c r="L24" s="82">
        <f t="shared" si="9"/>
        <v>1814.4250000000002</v>
      </c>
      <c r="M24" s="6">
        <f t="shared" si="3"/>
        <v>381029.10306038993</v>
      </c>
      <c r="N24" s="48">
        <f t="shared" si="0"/>
        <v>209.99991901588101</v>
      </c>
      <c r="O24" s="48">
        <v>0</v>
      </c>
      <c r="P24" s="48">
        <f t="shared" si="4"/>
        <v>0</v>
      </c>
      <c r="Q24" s="49">
        <v>704.39599999999996</v>
      </c>
      <c r="R24" s="48">
        <f t="shared" si="5"/>
        <v>147923.10295511052</v>
      </c>
      <c r="S24" s="76">
        <f t="shared" si="6"/>
        <v>704.39599999999996</v>
      </c>
      <c r="T24" s="77">
        <f t="shared" si="6"/>
        <v>147923.10295511052</v>
      </c>
      <c r="U24" s="30">
        <v>792.12599999999986</v>
      </c>
      <c r="V24" s="6">
        <v>198031.5</v>
      </c>
      <c r="W24" s="30">
        <f t="shared" si="7"/>
        <v>317.90300000000036</v>
      </c>
      <c r="X24" s="6">
        <f t="shared" si="8"/>
        <v>66759.604254905702</v>
      </c>
      <c r="Y24" s="4">
        <f t="shared" si="1"/>
        <v>31685.104149626277</v>
      </c>
      <c r="Z24" s="5">
        <f t="shared" si="10"/>
        <v>0.16000032393647615</v>
      </c>
      <c r="AA24" s="5">
        <v>6.5123809607888633E-2</v>
      </c>
      <c r="AB24" s="5">
        <f t="shared" si="11"/>
        <v>9.4876514328587513E-2</v>
      </c>
    </row>
    <row r="25" spans="1:28">
      <c r="A25" s="75" t="s">
        <v>160</v>
      </c>
      <c r="B25" s="30">
        <v>83.597999999999999</v>
      </c>
      <c r="C25" s="34">
        <v>150489.73658072576</v>
      </c>
      <c r="D25" s="30">
        <v>0</v>
      </c>
      <c r="E25" s="34">
        <v>0</v>
      </c>
      <c r="F25" s="34">
        <v>0</v>
      </c>
      <c r="G25" s="34">
        <v>0</v>
      </c>
      <c r="H25" s="83">
        <v>0</v>
      </c>
      <c r="I25" s="34">
        <v>0</v>
      </c>
      <c r="J25" s="49">
        <f t="shared" si="2"/>
        <v>0</v>
      </c>
      <c r="K25" s="34">
        <f t="shared" si="2"/>
        <v>0</v>
      </c>
      <c r="L25" s="82">
        <f t="shared" si="9"/>
        <v>83.597999999999999</v>
      </c>
      <c r="M25" s="6">
        <f t="shared" si="3"/>
        <v>150489.73658072576</v>
      </c>
      <c r="N25" s="48">
        <f t="shared" si="0"/>
        <v>1800.159532294143</v>
      </c>
      <c r="O25" s="48">
        <v>0</v>
      </c>
      <c r="P25" s="48">
        <f t="shared" si="4"/>
        <v>0</v>
      </c>
      <c r="Q25" s="49">
        <v>75.63</v>
      </c>
      <c r="R25" s="48">
        <f t="shared" si="5"/>
        <v>136146.06542740602</v>
      </c>
      <c r="S25" s="76">
        <f t="shared" si="6"/>
        <v>75.63</v>
      </c>
      <c r="T25" s="77">
        <f t="shared" si="6"/>
        <v>136146.06542740602</v>
      </c>
      <c r="U25" s="30">
        <v>7.968</v>
      </c>
      <c r="V25" s="6">
        <v>19920</v>
      </c>
      <c r="W25" s="30">
        <f t="shared" si="7"/>
        <v>0</v>
      </c>
      <c r="X25" s="6">
        <f t="shared" si="8"/>
        <v>0</v>
      </c>
      <c r="Y25" s="4">
        <f t="shared" si="1"/>
        <v>5576.3288466802624</v>
      </c>
      <c r="Z25" s="5">
        <f t="shared" si="10"/>
        <v>0.27993618708234247</v>
      </c>
      <c r="AA25" s="5">
        <v>0.27993618708233614</v>
      </c>
      <c r="AB25" s="5">
        <f t="shared" si="11"/>
        <v>6.3282712403633923E-15</v>
      </c>
    </row>
    <row r="26" spans="1:28">
      <c r="A26" s="75" t="s">
        <v>161</v>
      </c>
      <c r="B26" s="30">
        <v>0.88</v>
      </c>
      <c r="C26" s="34">
        <v>1688.5622571380302</v>
      </c>
      <c r="D26" s="30">
        <v>0</v>
      </c>
      <c r="E26" s="34">
        <v>0</v>
      </c>
      <c r="F26" s="34">
        <v>0</v>
      </c>
      <c r="G26" s="34">
        <v>0</v>
      </c>
      <c r="H26" s="83">
        <v>0</v>
      </c>
      <c r="I26" s="34">
        <v>0</v>
      </c>
      <c r="J26" s="49">
        <f>+F26+H26</f>
        <v>0</v>
      </c>
      <c r="K26" s="34">
        <f>+G26+I26</f>
        <v>0</v>
      </c>
      <c r="L26" s="82">
        <f>+B26+D26+J26</f>
        <v>0.88</v>
      </c>
      <c r="M26" s="6">
        <f>+C26+E26+K26</f>
        <v>1688.5622571380302</v>
      </c>
      <c r="N26" s="48">
        <f>M26/L26</f>
        <v>1918.8207467477616</v>
      </c>
      <c r="O26" s="48">
        <v>0</v>
      </c>
      <c r="P26" s="48">
        <f>+O26*N26</f>
        <v>0</v>
      </c>
      <c r="Q26" s="49">
        <v>0</v>
      </c>
      <c r="R26" s="48">
        <f>+Q26*N26</f>
        <v>0</v>
      </c>
      <c r="S26" s="76">
        <f>+O26+Q26</f>
        <v>0</v>
      </c>
      <c r="T26" s="77">
        <f>+P26+R26</f>
        <v>0</v>
      </c>
      <c r="U26" s="30">
        <v>0.88</v>
      </c>
      <c r="V26" s="6">
        <v>2464</v>
      </c>
      <c r="W26" s="30">
        <f>L26-U26-S26</f>
        <v>0</v>
      </c>
      <c r="X26" s="6">
        <f>W26*N26</f>
        <v>0</v>
      </c>
      <c r="Y26" s="4">
        <f>+X26+V26+T26-M26</f>
        <v>775.43774286196981</v>
      </c>
      <c r="Z26" s="5">
        <f>IF(Y26&gt;0,(Y26/V26),0)</f>
        <v>0.31470687616151372</v>
      </c>
      <c r="AA26" s="5">
        <v>0</v>
      </c>
      <c r="AB26" s="5">
        <f>Z26-AA26</f>
        <v>0.31470687616151372</v>
      </c>
    </row>
    <row r="27" spans="1:28">
      <c r="A27" s="75" t="s">
        <v>162</v>
      </c>
      <c r="B27" s="30">
        <v>3.09</v>
      </c>
      <c r="C27" s="34">
        <v>619.76163146115005</v>
      </c>
      <c r="D27" s="30">
        <v>0</v>
      </c>
      <c r="E27" s="34">
        <v>0</v>
      </c>
      <c r="F27" s="34">
        <v>0</v>
      </c>
      <c r="G27" s="34">
        <v>0</v>
      </c>
      <c r="H27" s="83">
        <v>1529.1310000000001</v>
      </c>
      <c r="I27" s="34">
        <v>306697.96869832365</v>
      </c>
      <c r="J27" s="49">
        <f t="shared" ref="J27:K27" si="16">+F27+H27</f>
        <v>1529.1310000000001</v>
      </c>
      <c r="K27" s="34">
        <f t="shared" si="16"/>
        <v>306697.96869832365</v>
      </c>
      <c r="L27" s="82">
        <f t="shared" si="9"/>
        <v>1532.221</v>
      </c>
      <c r="M27" s="6">
        <f t="shared" si="3"/>
        <v>307317.7303297848</v>
      </c>
      <c r="N27" s="48">
        <f t="shared" si="0"/>
        <v>200.57010726898065</v>
      </c>
      <c r="O27" s="48">
        <v>0</v>
      </c>
      <c r="P27" s="48">
        <f t="shared" ref="P27" si="17">+O27*N27</f>
        <v>0</v>
      </c>
      <c r="Q27" s="49">
        <v>0</v>
      </c>
      <c r="R27" s="48">
        <f t="shared" ref="R27" si="18">+Q27*N27</f>
        <v>0</v>
      </c>
      <c r="S27" s="76">
        <f t="shared" si="6"/>
        <v>0</v>
      </c>
      <c r="T27" s="77">
        <f t="shared" si="6"/>
        <v>0</v>
      </c>
      <c r="U27" s="30">
        <v>2.7</v>
      </c>
      <c r="V27" s="6">
        <v>810</v>
      </c>
      <c r="W27" s="30">
        <f t="shared" si="7"/>
        <v>1529.521</v>
      </c>
      <c r="X27" s="6">
        <f t="shared" si="8"/>
        <v>306776.19104015856</v>
      </c>
      <c r="Y27" s="4">
        <f t="shared" si="1"/>
        <v>268.46071037376532</v>
      </c>
      <c r="Z27" s="5">
        <f t="shared" si="10"/>
        <v>0.33143297577008063</v>
      </c>
      <c r="AA27" s="5">
        <v>0</v>
      </c>
      <c r="AB27" s="5">
        <f t="shared" si="11"/>
        <v>0.33143297577008063</v>
      </c>
    </row>
    <row r="28" spans="1:28">
      <c r="A28" s="75" t="s">
        <v>163</v>
      </c>
      <c r="B28" s="30">
        <v>37.765999999999998</v>
      </c>
      <c r="C28" s="34">
        <v>9487.7554711826997</v>
      </c>
      <c r="D28" s="30">
        <v>0</v>
      </c>
      <c r="E28" s="34">
        <v>0</v>
      </c>
      <c r="F28" s="34">
        <v>0</v>
      </c>
      <c r="G28" s="34">
        <v>0</v>
      </c>
      <c r="H28" s="83">
        <v>0</v>
      </c>
      <c r="I28" s="34">
        <v>0</v>
      </c>
      <c r="J28" s="49">
        <f t="shared" si="2"/>
        <v>0</v>
      </c>
      <c r="K28" s="34">
        <f t="shared" si="2"/>
        <v>0</v>
      </c>
      <c r="L28" s="82">
        <f t="shared" si="9"/>
        <v>37.765999999999998</v>
      </c>
      <c r="M28" s="6">
        <f t="shared" si="3"/>
        <v>9487.7554711826997</v>
      </c>
      <c r="N28" s="48">
        <f t="shared" si="0"/>
        <v>251.22479137803052</v>
      </c>
      <c r="O28" s="48">
        <v>0</v>
      </c>
      <c r="P28" s="48">
        <f t="shared" si="4"/>
        <v>0</v>
      </c>
      <c r="Q28" s="49">
        <v>0</v>
      </c>
      <c r="R28" s="48">
        <f t="shared" si="5"/>
        <v>0</v>
      </c>
      <c r="S28" s="76">
        <f t="shared" si="6"/>
        <v>0</v>
      </c>
      <c r="T28" s="77">
        <f t="shared" si="6"/>
        <v>0</v>
      </c>
      <c r="U28" s="30">
        <v>0</v>
      </c>
      <c r="V28" s="6">
        <v>0</v>
      </c>
      <c r="W28" s="30">
        <f t="shared" si="7"/>
        <v>37.765999999999998</v>
      </c>
      <c r="X28" s="6">
        <f t="shared" si="8"/>
        <v>9487.7554711826997</v>
      </c>
      <c r="Y28" s="4">
        <f t="shared" si="1"/>
        <v>0</v>
      </c>
      <c r="Z28" s="5">
        <f t="shared" si="10"/>
        <v>0</v>
      </c>
      <c r="AA28" s="5">
        <v>0</v>
      </c>
      <c r="AB28" s="5">
        <f t="shared" si="11"/>
        <v>0</v>
      </c>
    </row>
    <row r="29" spans="1:28">
      <c r="A29" s="75" t="s">
        <v>164</v>
      </c>
      <c r="B29" s="30">
        <v>4.282</v>
      </c>
      <c r="C29" s="34">
        <v>10394.65231525249</v>
      </c>
      <c r="D29" s="30">
        <v>0</v>
      </c>
      <c r="E29" s="34">
        <v>0</v>
      </c>
      <c r="F29" s="34">
        <v>0</v>
      </c>
      <c r="G29" s="34">
        <v>0</v>
      </c>
      <c r="H29" s="83">
        <v>0</v>
      </c>
      <c r="I29" s="34">
        <v>0</v>
      </c>
      <c r="J29" s="49">
        <f t="shared" si="2"/>
        <v>0</v>
      </c>
      <c r="K29" s="34">
        <f t="shared" si="2"/>
        <v>0</v>
      </c>
      <c r="L29" s="82">
        <f t="shared" si="9"/>
        <v>4.282</v>
      </c>
      <c r="M29" s="6">
        <f t="shared" si="3"/>
        <v>10394.65231525249</v>
      </c>
      <c r="N29" s="48">
        <f t="shared" si="0"/>
        <v>2427.5227265886242</v>
      </c>
      <c r="O29" s="48">
        <v>0</v>
      </c>
      <c r="P29" s="48">
        <f t="shared" si="4"/>
        <v>0</v>
      </c>
      <c r="Q29" s="49">
        <v>0</v>
      </c>
      <c r="R29" s="48">
        <f t="shared" si="5"/>
        <v>0</v>
      </c>
      <c r="S29" s="76">
        <f t="shared" si="6"/>
        <v>0</v>
      </c>
      <c r="T29" s="77">
        <f t="shared" si="6"/>
        <v>0</v>
      </c>
      <c r="U29" s="30">
        <v>4.282</v>
      </c>
      <c r="V29" s="6">
        <v>14987</v>
      </c>
      <c r="W29" s="30">
        <f t="shared" si="7"/>
        <v>0</v>
      </c>
      <c r="X29" s="6">
        <f t="shared" si="8"/>
        <v>0</v>
      </c>
      <c r="Y29" s="4">
        <f t="shared" si="1"/>
        <v>4592.3476847475104</v>
      </c>
      <c r="Z29" s="5">
        <f t="shared" si="10"/>
        <v>0.30642207811753591</v>
      </c>
      <c r="AA29" s="5">
        <v>0</v>
      </c>
      <c r="AB29" s="5">
        <f t="shared" si="11"/>
        <v>0.30642207811753591</v>
      </c>
    </row>
    <row r="30" spans="1:28">
      <c r="A30" s="75" t="s">
        <v>165</v>
      </c>
      <c r="B30" s="30">
        <v>501.22</v>
      </c>
      <c r="C30" s="34">
        <v>149933.41508387329</v>
      </c>
      <c r="D30" s="30">
        <v>0</v>
      </c>
      <c r="E30" s="34">
        <v>0</v>
      </c>
      <c r="F30" s="34">
        <v>0</v>
      </c>
      <c r="G30" s="34">
        <v>0</v>
      </c>
      <c r="H30" s="83">
        <v>0</v>
      </c>
      <c r="I30" s="34">
        <v>0</v>
      </c>
      <c r="J30" s="49">
        <f t="shared" si="2"/>
        <v>0</v>
      </c>
      <c r="K30" s="34">
        <f t="shared" si="2"/>
        <v>0</v>
      </c>
      <c r="L30" s="82">
        <f t="shared" si="9"/>
        <v>501.22</v>
      </c>
      <c r="M30" s="6">
        <f t="shared" si="3"/>
        <v>149933.41508387329</v>
      </c>
      <c r="N30" s="48">
        <f t="shared" si="0"/>
        <v>299.13693604379966</v>
      </c>
      <c r="O30" s="48">
        <v>0</v>
      </c>
      <c r="P30" s="48">
        <f t="shared" si="4"/>
        <v>0</v>
      </c>
      <c r="Q30" s="49">
        <v>357.666</v>
      </c>
      <c r="R30" s="48">
        <f t="shared" si="5"/>
        <v>106991.11136704165</v>
      </c>
      <c r="S30" s="76">
        <f t="shared" si="6"/>
        <v>357.666</v>
      </c>
      <c r="T30" s="77">
        <f t="shared" si="6"/>
        <v>106991.11136704165</v>
      </c>
      <c r="U30" s="30">
        <v>116.21400000000001</v>
      </c>
      <c r="V30" s="6">
        <v>46485.600000000006</v>
      </c>
      <c r="W30" s="30">
        <f t="shared" si="7"/>
        <v>27.340000000000032</v>
      </c>
      <c r="X30" s="6">
        <f t="shared" si="8"/>
        <v>8178.403831437492</v>
      </c>
      <c r="Y30" s="4">
        <f t="shared" si="1"/>
        <v>11721.700114605861</v>
      </c>
      <c r="Z30" s="5">
        <f t="shared" si="10"/>
        <v>0.25215765989050071</v>
      </c>
      <c r="AA30" s="5">
        <v>0.25215614424287597</v>
      </c>
      <c r="AB30" s="5">
        <f t="shared" si="11"/>
        <v>1.5156476247391026E-6</v>
      </c>
    </row>
    <row r="31" spans="1:28">
      <c r="A31" s="75" t="s">
        <v>166</v>
      </c>
      <c r="B31" s="30">
        <v>48.43</v>
      </c>
      <c r="C31" s="34">
        <v>14529</v>
      </c>
      <c r="D31" s="30">
        <v>0</v>
      </c>
      <c r="E31" s="34">
        <v>0</v>
      </c>
      <c r="F31" s="34">
        <v>0</v>
      </c>
      <c r="G31" s="34">
        <v>0</v>
      </c>
      <c r="H31" s="83">
        <v>0</v>
      </c>
      <c r="I31" s="34">
        <v>0</v>
      </c>
      <c r="J31" s="49">
        <f t="shared" si="2"/>
        <v>0</v>
      </c>
      <c r="K31" s="34">
        <f t="shared" si="2"/>
        <v>0</v>
      </c>
      <c r="L31" s="82">
        <f t="shared" si="9"/>
        <v>48.43</v>
      </c>
      <c r="M31" s="6">
        <f t="shared" si="3"/>
        <v>14529</v>
      </c>
      <c r="N31" s="48">
        <f t="shared" si="0"/>
        <v>300</v>
      </c>
      <c r="O31" s="48">
        <v>0</v>
      </c>
      <c r="P31" s="48">
        <f t="shared" si="4"/>
        <v>0</v>
      </c>
      <c r="Q31" s="49">
        <v>0</v>
      </c>
      <c r="R31" s="48">
        <f t="shared" si="5"/>
        <v>0</v>
      </c>
      <c r="S31" s="76">
        <f t="shared" si="6"/>
        <v>0</v>
      </c>
      <c r="T31" s="77">
        <f t="shared" si="6"/>
        <v>0</v>
      </c>
      <c r="U31" s="30">
        <v>32.019999999999996</v>
      </c>
      <c r="V31" s="6">
        <v>14409</v>
      </c>
      <c r="W31" s="30">
        <f t="shared" si="7"/>
        <v>16.410000000000004</v>
      </c>
      <c r="X31" s="6">
        <f t="shared" si="8"/>
        <v>4923.0000000000009</v>
      </c>
      <c r="Y31" s="4">
        <f t="shared" si="1"/>
        <v>4803</v>
      </c>
      <c r="Z31" s="5">
        <f t="shared" si="10"/>
        <v>0.33333333333333331</v>
      </c>
      <c r="AA31" s="5">
        <v>0</v>
      </c>
      <c r="AB31" s="5">
        <f t="shared" si="11"/>
        <v>0.33333333333333331</v>
      </c>
    </row>
    <row r="32" spans="1:28">
      <c r="A32" s="75" t="s">
        <v>167</v>
      </c>
      <c r="B32" s="30">
        <v>0</v>
      </c>
      <c r="C32" s="34">
        <v>0</v>
      </c>
      <c r="D32" s="30">
        <v>0</v>
      </c>
      <c r="E32" s="34">
        <v>0</v>
      </c>
      <c r="F32" s="34">
        <v>0</v>
      </c>
      <c r="G32" s="34">
        <v>0</v>
      </c>
      <c r="H32" s="83">
        <v>37.094000000000001</v>
      </c>
      <c r="I32" s="34">
        <v>1269.4271021534803</v>
      </c>
      <c r="J32" s="49">
        <f t="shared" si="2"/>
        <v>37.094000000000001</v>
      </c>
      <c r="K32" s="34">
        <f t="shared" si="2"/>
        <v>1269.4271021534803</v>
      </c>
      <c r="L32" s="82">
        <f t="shared" si="9"/>
        <v>37.094000000000001</v>
      </c>
      <c r="M32" s="6">
        <f t="shared" si="3"/>
        <v>1269.4271021534803</v>
      </c>
      <c r="N32" s="48">
        <f t="shared" si="0"/>
        <v>34.221898478284366</v>
      </c>
      <c r="O32" s="48">
        <v>0</v>
      </c>
      <c r="P32" s="48">
        <f t="shared" si="4"/>
        <v>0</v>
      </c>
      <c r="Q32" s="49">
        <v>0</v>
      </c>
      <c r="R32" s="48">
        <f t="shared" si="5"/>
        <v>0</v>
      </c>
      <c r="S32" s="76">
        <f t="shared" si="6"/>
        <v>0</v>
      </c>
      <c r="T32" s="77">
        <f t="shared" si="6"/>
        <v>0</v>
      </c>
      <c r="U32" s="30">
        <v>0</v>
      </c>
      <c r="V32" s="6">
        <v>0</v>
      </c>
      <c r="W32" s="30">
        <f t="shared" si="7"/>
        <v>37.094000000000001</v>
      </c>
      <c r="X32" s="6">
        <f t="shared" si="8"/>
        <v>1269.4271021534803</v>
      </c>
      <c r="Y32" s="4">
        <f t="shared" si="1"/>
        <v>0</v>
      </c>
      <c r="Z32" s="5">
        <f t="shared" si="10"/>
        <v>0</v>
      </c>
      <c r="AA32" s="5">
        <v>0.28119871742601538</v>
      </c>
      <c r="AB32" s="5">
        <f t="shared" si="11"/>
        <v>-0.28119871742601538</v>
      </c>
    </row>
    <row r="33" spans="1:28">
      <c r="A33" s="75" t="s">
        <v>168</v>
      </c>
      <c r="B33" s="30">
        <v>207.797</v>
      </c>
      <c r="C33" s="34">
        <v>74682.375057513185</v>
      </c>
      <c r="D33" s="30">
        <v>0</v>
      </c>
      <c r="E33" s="34">
        <v>0</v>
      </c>
      <c r="F33" s="34">
        <v>0</v>
      </c>
      <c r="G33" s="34">
        <v>0</v>
      </c>
      <c r="H33" s="83">
        <v>0</v>
      </c>
      <c r="I33" s="34">
        <v>0</v>
      </c>
      <c r="J33" s="49">
        <f t="shared" si="2"/>
        <v>0</v>
      </c>
      <c r="K33" s="34">
        <f t="shared" si="2"/>
        <v>0</v>
      </c>
      <c r="L33" s="82">
        <f t="shared" si="9"/>
        <v>207.797</v>
      </c>
      <c r="M33" s="6">
        <f t="shared" si="3"/>
        <v>74682.375057513185</v>
      </c>
      <c r="N33" s="48">
        <f t="shared" si="0"/>
        <v>359.40064128699254</v>
      </c>
      <c r="O33" s="48">
        <v>0</v>
      </c>
      <c r="P33" s="48">
        <f t="shared" si="4"/>
        <v>0</v>
      </c>
      <c r="Q33" s="49">
        <v>176.16</v>
      </c>
      <c r="R33" s="48">
        <f t="shared" si="5"/>
        <v>63312.016969116601</v>
      </c>
      <c r="S33" s="76">
        <f t="shared" si="6"/>
        <v>176.16</v>
      </c>
      <c r="T33" s="77">
        <f t="shared" si="6"/>
        <v>63312.016969116601</v>
      </c>
      <c r="U33" s="30">
        <v>10.370000000000001</v>
      </c>
      <c r="V33" s="6">
        <v>5185</v>
      </c>
      <c r="W33" s="30">
        <f t="shared" si="7"/>
        <v>21.266999999999996</v>
      </c>
      <c r="X33" s="6">
        <f t="shared" si="8"/>
        <v>7643.373438250469</v>
      </c>
      <c r="Y33" s="4">
        <f t="shared" si="1"/>
        <v>1458.0153498538857</v>
      </c>
      <c r="Z33" s="5">
        <f t="shared" si="10"/>
        <v>0.2811987174260146</v>
      </c>
      <c r="AA33" s="5">
        <v>0.28119871742601538</v>
      </c>
      <c r="AB33" s="5">
        <f t="shared" si="11"/>
        <v>-7.7715611723760958E-16</v>
      </c>
    </row>
    <row r="34" spans="1:28">
      <c r="A34" s="75" t="s">
        <v>169</v>
      </c>
      <c r="B34" s="30">
        <v>2.88</v>
      </c>
      <c r="C34" s="34">
        <v>1150.1197682570626</v>
      </c>
      <c r="D34" s="30">
        <v>0</v>
      </c>
      <c r="E34" s="34">
        <v>0</v>
      </c>
      <c r="F34" s="34">
        <v>0</v>
      </c>
      <c r="G34" s="34">
        <v>0</v>
      </c>
      <c r="H34" s="83">
        <v>0</v>
      </c>
      <c r="I34" s="34">
        <v>0</v>
      </c>
      <c r="J34" s="49">
        <f t="shared" si="2"/>
        <v>0</v>
      </c>
      <c r="K34" s="34">
        <f t="shared" si="2"/>
        <v>0</v>
      </c>
      <c r="L34" s="82">
        <f t="shared" si="9"/>
        <v>2.88</v>
      </c>
      <c r="M34" s="6">
        <f t="shared" si="3"/>
        <v>1150.1197682570626</v>
      </c>
      <c r="N34" s="48">
        <f t="shared" si="0"/>
        <v>399.3471417559245</v>
      </c>
      <c r="O34" s="48">
        <v>0</v>
      </c>
      <c r="P34" s="48">
        <f t="shared" si="4"/>
        <v>0</v>
      </c>
      <c r="Q34" s="49">
        <v>0</v>
      </c>
      <c r="R34" s="48">
        <f t="shared" si="5"/>
        <v>0</v>
      </c>
      <c r="S34" s="76">
        <f t="shared" si="6"/>
        <v>0</v>
      </c>
      <c r="T34" s="77">
        <f t="shared" si="6"/>
        <v>0</v>
      </c>
      <c r="U34" s="30">
        <v>2.88</v>
      </c>
      <c r="V34" s="6">
        <v>1584</v>
      </c>
      <c r="W34" s="30">
        <f t="shared" si="7"/>
        <v>0</v>
      </c>
      <c r="X34" s="6">
        <f t="shared" si="8"/>
        <v>0</v>
      </c>
      <c r="Y34" s="4">
        <f t="shared" si="1"/>
        <v>433.88023174293744</v>
      </c>
      <c r="Z34" s="5">
        <f t="shared" si="10"/>
        <v>0.27391428771650089</v>
      </c>
      <c r="AA34" s="5">
        <v>0.27391428771650056</v>
      </c>
      <c r="AB34" s="5">
        <f t="shared" si="11"/>
        <v>0</v>
      </c>
    </row>
    <row r="35" spans="1:28">
      <c r="A35" s="75" t="s">
        <v>170</v>
      </c>
      <c r="B35" s="30">
        <v>0</v>
      </c>
      <c r="C35" s="34">
        <v>0</v>
      </c>
      <c r="D35" s="30">
        <v>0</v>
      </c>
      <c r="E35" s="34">
        <v>0</v>
      </c>
      <c r="F35" s="34">
        <v>0</v>
      </c>
      <c r="G35" s="34">
        <v>0</v>
      </c>
      <c r="H35" s="83">
        <v>27.672000000000001</v>
      </c>
      <c r="I35" s="34">
        <v>11068.800000000001</v>
      </c>
      <c r="J35" s="49">
        <f t="shared" si="2"/>
        <v>27.672000000000001</v>
      </c>
      <c r="K35" s="34">
        <f t="shared" si="2"/>
        <v>11068.800000000001</v>
      </c>
      <c r="L35" s="82">
        <f t="shared" si="9"/>
        <v>27.672000000000001</v>
      </c>
      <c r="M35" s="6">
        <f t="shared" si="3"/>
        <v>11068.800000000001</v>
      </c>
      <c r="N35" s="48">
        <f t="shared" si="0"/>
        <v>400.00000000000006</v>
      </c>
      <c r="O35" s="48">
        <v>0</v>
      </c>
      <c r="P35" s="48">
        <f t="shared" si="4"/>
        <v>0</v>
      </c>
      <c r="Q35" s="49">
        <v>0</v>
      </c>
      <c r="R35" s="48">
        <f t="shared" si="5"/>
        <v>0</v>
      </c>
      <c r="S35" s="76">
        <f t="shared" si="6"/>
        <v>0</v>
      </c>
      <c r="T35" s="77">
        <f t="shared" si="6"/>
        <v>0</v>
      </c>
      <c r="U35" s="30">
        <v>11.258000000000001</v>
      </c>
      <c r="V35" s="6">
        <v>6754.8</v>
      </c>
      <c r="W35" s="30">
        <f t="shared" si="7"/>
        <v>16.414000000000001</v>
      </c>
      <c r="X35" s="6">
        <f t="shared" si="8"/>
        <v>6565.6000000000013</v>
      </c>
      <c r="Y35" s="4">
        <f t="shared" si="1"/>
        <v>2251.6000000000004</v>
      </c>
      <c r="Z35" s="5">
        <f t="shared" si="10"/>
        <v>0.33333333333333337</v>
      </c>
      <c r="AA35" s="5">
        <v>0.28119871742601538</v>
      </c>
      <c r="AB35" s="5">
        <f t="shared" si="11"/>
        <v>5.2134615907317994E-2</v>
      </c>
    </row>
    <row r="36" spans="1:28">
      <c r="A36" s="75" t="s">
        <v>171</v>
      </c>
      <c r="B36" s="30">
        <v>35.095999999999997</v>
      </c>
      <c r="C36" s="34">
        <v>17523.611654142456</v>
      </c>
      <c r="D36" s="30">
        <v>0</v>
      </c>
      <c r="E36" s="34">
        <v>0</v>
      </c>
      <c r="F36" s="34">
        <v>0</v>
      </c>
      <c r="G36" s="34">
        <v>0</v>
      </c>
      <c r="H36" s="83">
        <v>0</v>
      </c>
      <c r="I36" s="34">
        <v>0</v>
      </c>
      <c r="J36" s="49">
        <f t="shared" si="2"/>
        <v>0</v>
      </c>
      <c r="K36" s="34">
        <f t="shared" si="2"/>
        <v>0</v>
      </c>
      <c r="L36" s="82">
        <f t="shared" si="9"/>
        <v>35.095999999999997</v>
      </c>
      <c r="M36" s="6">
        <f t="shared" si="3"/>
        <v>17523.611654142456</v>
      </c>
      <c r="N36" s="48">
        <f t="shared" si="0"/>
        <v>499.30509614037095</v>
      </c>
      <c r="O36" s="48">
        <v>0</v>
      </c>
      <c r="P36" s="48">
        <f t="shared" si="4"/>
        <v>0</v>
      </c>
      <c r="Q36" s="49">
        <v>0</v>
      </c>
      <c r="R36" s="48">
        <f t="shared" si="5"/>
        <v>0</v>
      </c>
      <c r="S36" s="76">
        <f t="shared" si="6"/>
        <v>0</v>
      </c>
      <c r="T36" s="77">
        <f t="shared" si="6"/>
        <v>0</v>
      </c>
      <c r="U36" s="30">
        <v>17.417999999999999</v>
      </c>
      <c r="V36" s="6">
        <v>12192.6</v>
      </c>
      <c r="W36" s="30">
        <f t="shared" si="7"/>
        <v>17.677999999999997</v>
      </c>
      <c r="X36" s="6">
        <f t="shared" si="8"/>
        <v>8826.7154895694766</v>
      </c>
      <c r="Y36" s="4">
        <f t="shared" si="1"/>
        <v>3495.7038354270189</v>
      </c>
      <c r="Z36" s="5">
        <f t="shared" si="10"/>
        <v>0.28670700551375577</v>
      </c>
      <c r="AA36" s="5">
        <v>0</v>
      </c>
      <c r="AB36" s="5">
        <f t="shared" si="11"/>
        <v>0.28670700551375577</v>
      </c>
    </row>
    <row r="37" spans="1:28">
      <c r="A37" s="75" t="s">
        <v>172</v>
      </c>
      <c r="B37" s="30">
        <v>12.475999999999999</v>
      </c>
      <c r="C37" s="34">
        <v>11852.805696407378</v>
      </c>
      <c r="D37" s="30">
        <v>0</v>
      </c>
      <c r="E37" s="34">
        <v>0</v>
      </c>
      <c r="F37" s="34">
        <v>0</v>
      </c>
      <c r="G37" s="34">
        <v>0</v>
      </c>
      <c r="H37" s="83">
        <v>0</v>
      </c>
      <c r="I37" s="34">
        <v>0</v>
      </c>
      <c r="J37" s="49">
        <f t="shared" si="2"/>
        <v>0</v>
      </c>
      <c r="K37" s="34">
        <f t="shared" si="2"/>
        <v>0</v>
      </c>
      <c r="L37" s="82">
        <f t="shared" si="9"/>
        <v>12.475999999999999</v>
      </c>
      <c r="M37" s="6">
        <f t="shared" si="3"/>
        <v>11852.805696407378</v>
      </c>
      <c r="N37" s="48">
        <f t="shared" si="0"/>
        <v>950.04854892652929</v>
      </c>
      <c r="O37" s="48">
        <v>0</v>
      </c>
      <c r="P37" s="48">
        <f t="shared" si="4"/>
        <v>0</v>
      </c>
      <c r="Q37" s="49">
        <v>0</v>
      </c>
      <c r="R37" s="48">
        <f t="shared" si="5"/>
        <v>0</v>
      </c>
      <c r="S37" s="76">
        <f t="shared" si="6"/>
        <v>0</v>
      </c>
      <c r="T37" s="77">
        <f t="shared" si="6"/>
        <v>0</v>
      </c>
      <c r="U37" s="30">
        <v>3</v>
      </c>
      <c r="V37" s="6">
        <v>2850</v>
      </c>
      <c r="W37" s="30">
        <f t="shared" si="7"/>
        <v>9.4759999999999991</v>
      </c>
      <c r="X37" s="6">
        <f t="shared" si="8"/>
        <v>9002.6600496277915</v>
      </c>
      <c r="Y37" s="4">
        <f t="shared" si="1"/>
        <v>-0.14564677958696848</v>
      </c>
      <c r="Z37" s="5">
        <f t="shared" si="10"/>
        <v>0</v>
      </c>
      <c r="AA37" s="5">
        <v>0</v>
      </c>
      <c r="AB37" s="5">
        <f t="shared" si="11"/>
        <v>0</v>
      </c>
    </row>
    <row r="38" spans="1:28">
      <c r="A38" s="75"/>
      <c r="B38" s="30"/>
      <c r="C38" s="34"/>
      <c r="D38" s="30"/>
      <c r="E38" s="34"/>
      <c r="F38" s="34"/>
      <c r="G38" s="34"/>
      <c r="H38" s="34"/>
      <c r="I38" s="34"/>
      <c r="J38" s="49"/>
      <c r="K38" s="34"/>
      <c r="L38" s="30"/>
      <c r="M38" s="6"/>
      <c r="N38" s="48"/>
      <c r="O38" s="48"/>
      <c r="P38" s="48"/>
      <c r="Q38" s="48"/>
      <c r="R38" s="48"/>
      <c r="S38" s="49"/>
      <c r="T38" s="48"/>
      <c r="U38" s="30"/>
      <c r="V38" s="6"/>
      <c r="W38" s="32"/>
      <c r="X38" s="34"/>
      <c r="Z38" s="5"/>
    </row>
    <row r="39" spans="1:28" s="97" customFormat="1" ht="14.4" thickBot="1">
      <c r="A39" s="95" t="s">
        <v>38</v>
      </c>
      <c r="B39" s="85">
        <f t="shared" ref="B39:M39" si="19">SUM(B11:B37)</f>
        <v>6484.6210000000001</v>
      </c>
      <c r="C39" s="86">
        <f t="shared" si="19"/>
        <v>3573018.9020680427</v>
      </c>
      <c r="D39" s="85">
        <f t="shared" si="19"/>
        <v>0</v>
      </c>
      <c r="E39" s="86">
        <f t="shared" si="19"/>
        <v>0</v>
      </c>
      <c r="F39" s="85">
        <f t="shared" si="19"/>
        <v>0</v>
      </c>
      <c r="G39" s="86">
        <f t="shared" si="19"/>
        <v>0</v>
      </c>
      <c r="H39" s="85">
        <f t="shared" si="19"/>
        <v>2255.8350000000005</v>
      </c>
      <c r="I39" s="86">
        <f t="shared" si="19"/>
        <v>389348.55202912132</v>
      </c>
      <c r="J39" s="85">
        <f t="shared" si="19"/>
        <v>2255.8350000000005</v>
      </c>
      <c r="K39" s="86">
        <f t="shared" si="19"/>
        <v>389348.55202912132</v>
      </c>
      <c r="L39" s="85">
        <f t="shared" si="19"/>
        <v>8740.4560000000019</v>
      </c>
      <c r="M39" s="86">
        <f t="shared" si="19"/>
        <v>3962367.4540971639</v>
      </c>
      <c r="N39" s="85"/>
      <c r="O39" s="85">
        <f t="shared" ref="O39:W39" si="20">SUM(O11:O37)</f>
        <v>0</v>
      </c>
      <c r="P39" s="86">
        <f t="shared" si="20"/>
        <v>0</v>
      </c>
      <c r="Q39" s="85">
        <f t="shared" si="20"/>
        <v>3400.7219999999998</v>
      </c>
      <c r="R39" s="86">
        <f t="shared" si="20"/>
        <v>2634525.6175186979</v>
      </c>
      <c r="S39" s="85">
        <f t="shared" si="20"/>
        <v>3400.7219999999998</v>
      </c>
      <c r="T39" s="86">
        <f t="shared" si="20"/>
        <v>2634525.6175186979</v>
      </c>
      <c r="U39" s="85">
        <f t="shared" si="20"/>
        <v>2821.7559999999999</v>
      </c>
      <c r="V39" s="86">
        <f t="shared" si="20"/>
        <v>841361.39999999991</v>
      </c>
      <c r="W39" s="85">
        <f t="shared" si="20"/>
        <v>2517.9780000000005</v>
      </c>
      <c r="X39" s="86">
        <f>SUM(X11:X37)</f>
        <v>678279.02211440157</v>
      </c>
      <c r="Y39" s="86">
        <f>SUM(Y11:Y38)</f>
        <v>191798.58553593609</v>
      </c>
      <c r="Z39" s="96">
        <f>IF(Y39&gt;0,(Y39/V39),0)</f>
        <v>0.22796218787305444</v>
      </c>
      <c r="AA39" s="96">
        <v>0.12935471213014205</v>
      </c>
      <c r="AB39" s="96">
        <f t="shared" si="11"/>
        <v>9.8607475742912398E-2</v>
      </c>
    </row>
    <row r="40" spans="1:28" ht="14.4" thickTop="1"/>
    <row r="41" spans="1:28">
      <c r="W41" s="7"/>
    </row>
    <row r="103" spans="2:2">
      <c r="B103" s="76">
        <v>-92.3</v>
      </c>
    </row>
  </sheetData>
  <mergeCells count="15">
    <mergeCell ref="U7:V7"/>
    <mergeCell ref="W7:X7"/>
    <mergeCell ref="Z7:Z8"/>
    <mergeCell ref="AA7:AA8"/>
    <mergeCell ref="AB7:AB8"/>
    <mergeCell ref="A5:Y5"/>
    <mergeCell ref="B7:C7"/>
    <mergeCell ref="D7:E7"/>
    <mergeCell ref="F7:G7"/>
    <mergeCell ref="H7:I7"/>
    <mergeCell ref="J7:K7"/>
    <mergeCell ref="L7:M7"/>
    <mergeCell ref="O7:P7"/>
    <mergeCell ref="Q7:R7"/>
    <mergeCell ref="S7:T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8880-E695-4778-9CC2-893B2295C63A}">
  <dimension ref="A1:AE46"/>
  <sheetViews>
    <sheetView workbookViewId="0">
      <selection sqref="A1:XFD1048576"/>
    </sheetView>
  </sheetViews>
  <sheetFormatPr defaultColWidth="8.6640625" defaultRowHeight="13.8"/>
  <cols>
    <col min="1" max="1" width="13.5546875" style="98" customWidth="1"/>
    <col min="2" max="2" width="10.44140625" style="102" bestFit="1" customWidth="1"/>
    <col min="3" max="3" width="16.33203125" style="101" customWidth="1"/>
    <col min="4" max="4" width="8.33203125" style="102" customWidth="1"/>
    <col min="5" max="5" width="9.33203125" style="101" customWidth="1"/>
    <col min="6" max="6" width="6" style="101" hidden="1" customWidth="1"/>
    <col min="7" max="7" width="6.6640625" style="101" hidden="1" customWidth="1"/>
    <col min="8" max="8" width="11.6640625" style="3" customWidth="1"/>
    <col min="9" max="9" width="10.109375" style="3" customWidth="1"/>
    <col min="10" max="11" width="10.44140625" style="101" hidden="1" customWidth="1"/>
    <col min="12" max="12" width="11.5546875" style="102" bestFit="1" customWidth="1"/>
    <col min="13" max="13" width="14.33203125" style="101" bestFit="1" customWidth="1"/>
    <col min="14" max="14" width="12.6640625" style="98" bestFit="1" customWidth="1"/>
    <col min="15" max="16" width="13.44140625" style="98" hidden="1" customWidth="1"/>
    <col min="17" max="17" width="11.6640625" style="1" bestFit="1" customWidth="1"/>
    <col min="18" max="18" width="13.44140625" style="1" customWidth="1"/>
    <col min="19" max="20" width="10.33203125" style="98" hidden="1" customWidth="1"/>
    <col min="21" max="21" width="11.6640625" style="2" bestFit="1" customWidth="1"/>
    <col min="22" max="22" width="10.5546875" style="3" bestFit="1" customWidth="1"/>
    <col min="23" max="23" width="11.6640625" style="102" bestFit="1" customWidth="1"/>
    <col min="24" max="24" width="13.6640625" style="101" bestFit="1" customWidth="1"/>
    <col min="25" max="25" width="11.109375" style="103" customWidth="1"/>
    <col min="26" max="26" width="8.6640625" style="98"/>
    <col min="27" max="27" width="9.33203125" style="104" customWidth="1"/>
    <col min="28" max="28" width="9.5546875" style="98" bestFit="1" customWidth="1"/>
    <col min="29" max="16384" width="8.6640625" style="98"/>
  </cols>
  <sheetData>
    <row r="1" spans="1:31">
      <c r="A1" s="98" t="str">
        <f>+[1]Dia!A1</f>
        <v>Shree Jewellers Eximp Private Limited</v>
      </c>
      <c r="B1" s="99"/>
      <c r="C1" s="100"/>
      <c r="D1" s="99"/>
      <c r="N1" s="103"/>
      <c r="O1" s="103"/>
      <c r="P1" s="103"/>
      <c r="Q1" s="4"/>
      <c r="R1" s="4"/>
      <c r="S1" s="103"/>
      <c r="T1" s="103"/>
    </row>
    <row r="2" spans="1:31">
      <c r="A2" s="98" t="str">
        <f>+[1]Dia!A2</f>
        <v>3-6-354/1,2 &amp;18 Basheerbagh Branch</v>
      </c>
      <c r="B2" s="99"/>
      <c r="C2" s="100"/>
      <c r="D2" s="99"/>
      <c r="E2" s="100"/>
      <c r="F2" s="100"/>
      <c r="G2" s="100"/>
      <c r="H2" s="34"/>
      <c r="I2" s="34"/>
      <c r="J2" s="100"/>
      <c r="K2" s="100"/>
      <c r="L2" s="99"/>
      <c r="M2" s="100"/>
      <c r="N2" s="105"/>
      <c r="O2" s="105"/>
      <c r="P2" s="105"/>
      <c r="Q2" s="48"/>
      <c r="R2" s="48"/>
      <c r="S2" s="105"/>
      <c r="T2" s="105"/>
      <c r="U2" s="30"/>
      <c r="V2" s="34"/>
      <c r="W2" s="99"/>
      <c r="X2" s="100" t="str">
        <f>[1]Prls!X2</f>
        <v>AY 2026-2027</v>
      </c>
    </row>
    <row r="3" spans="1:31">
      <c r="A3" s="98" t="str">
        <f>+[1]Dia!A3</f>
        <v>Hyderabad - 500029</v>
      </c>
      <c r="B3" s="99"/>
      <c r="C3" s="100"/>
      <c r="D3" s="99"/>
      <c r="E3" s="100"/>
      <c r="F3" s="100"/>
      <c r="G3" s="100"/>
      <c r="H3" s="34"/>
      <c r="I3" s="34"/>
      <c r="J3" s="100"/>
      <c r="K3" s="100"/>
      <c r="L3" s="99"/>
      <c r="M3" s="100"/>
      <c r="N3" s="105"/>
      <c r="O3" s="105"/>
      <c r="P3" s="105"/>
      <c r="Q3" s="48"/>
      <c r="R3" s="48"/>
      <c r="S3" s="105"/>
      <c r="T3" s="105"/>
      <c r="U3" s="30"/>
      <c r="V3" s="34"/>
      <c r="W3" s="99"/>
      <c r="X3" s="100"/>
    </row>
    <row r="4" spans="1:31">
      <c r="B4" s="99"/>
      <c r="C4" s="100"/>
      <c r="D4" s="99"/>
      <c r="E4" s="100"/>
      <c r="F4" s="100"/>
      <c r="G4" s="100"/>
      <c r="H4" s="34"/>
      <c r="I4" s="34"/>
      <c r="J4" s="100"/>
      <c r="K4" s="100"/>
      <c r="L4" s="99"/>
      <c r="M4" s="100"/>
      <c r="N4" s="105"/>
      <c r="O4" s="105"/>
      <c r="P4" s="105"/>
      <c r="Q4" s="48"/>
      <c r="R4" s="48"/>
      <c r="S4" s="105"/>
      <c r="T4" s="105"/>
      <c r="U4" s="30"/>
      <c r="V4" s="34"/>
      <c r="W4" s="99"/>
      <c r="X4" s="100"/>
    </row>
    <row r="5" spans="1:31">
      <c r="A5" s="92" t="s">
        <v>173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28"/>
      <c r="AA5" s="28"/>
      <c r="AB5" s="28"/>
    </row>
    <row r="6" spans="1:31">
      <c r="B6" s="106"/>
      <c r="C6" s="100"/>
      <c r="D6" s="106"/>
      <c r="E6" s="100"/>
      <c r="F6" s="100"/>
      <c r="G6" s="100"/>
      <c r="H6" s="34"/>
      <c r="I6" s="34"/>
      <c r="J6" s="100"/>
      <c r="K6" s="100"/>
      <c r="L6" s="106"/>
      <c r="M6" s="100"/>
      <c r="N6" s="105"/>
      <c r="O6" s="105"/>
      <c r="P6" s="105"/>
      <c r="Q6" s="48"/>
      <c r="R6" s="48"/>
      <c r="S6" s="105"/>
      <c r="T6" s="105"/>
      <c r="U6" s="49"/>
      <c r="V6" s="34"/>
      <c r="W6" s="106"/>
      <c r="X6" s="100"/>
      <c r="Y6" s="107"/>
      <c r="AA6" s="108"/>
    </row>
    <row r="7" spans="1:31" s="21" customFormat="1" ht="27.6" customHeight="1">
      <c r="A7" s="9" t="s">
        <v>1</v>
      </c>
      <c r="B7" s="10" t="s">
        <v>2</v>
      </c>
      <c r="C7" s="10"/>
      <c r="D7" s="10" t="s">
        <v>3</v>
      </c>
      <c r="E7" s="10"/>
      <c r="F7" s="11" t="s">
        <v>4</v>
      </c>
      <c r="G7" s="12"/>
      <c r="H7" s="11" t="s">
        <v>5</v>
      </c>
      <c r="I7" s="12"/>
      <c r="J7" s="11" t="s">
        <v>6</v>
      </c>
      <c r="K7" s="12"/>
      <c r="L7" s="10" t="s">
        <v>7</v>
      </c>
      <c r="M7" s="10"/>
      <c r="N7" s="13" t="s">
        <v>8</v>
      </c>
      <c r="O7" s="11" t="s">
        <v>9</v>
      </c>
      <c r="P7" s="12"/>
      <c r="Q7" s="11" t="s">
        <v>10</v>
      </c>
      <c r="R7" s="12"/>
      <c r="S7" s="14" t="s">
        <v>11</v>
      </c>
      <c r="T7" s="15"/>
      <c r="U7" s="16" t="s">
        <v>12</v>
      </c>
      <c r="V7" s="17"/>
      <c r="W7" s="10" t="s">
        <v>13</v>
      </c>
      <c r="X7" s="10"/>
      <c r="Y7" s="18" t="s">
        <v>14</v>
      </c>
      <c r="Z7" s="20" t="s">
        <v>35</v>
      </c>
      <c r="AA7" s="20" t="str">
        <f>+[1]Prls!AA7</f>
        <v>GP AY 2025-26</v>
      </c>
      <c r="AB7" s="20" t="s">
        <v>16</v>
      </c>
    </row>
    <row r="8" spans="1:31" s="21" customFormat="1" ht="27.6">
      <c r="A8" s="22">
        <v>1</v>
      </c>
      <c r="B8" s="23" t="s">
        <v>17</v>
      </c>
      <c r="C8" s="24" t="s">
        <v>18</v>
      </c>
      <c r="D8" s="23" t="s">
        <v>19</v>
      </c>
      <c r="E8" s="24" t="s">
        <v>20</v>
      </c>
      <c r="F8" s="23" t="s">
        <v>21</v>
      </c>
      <c r="G8" s="24" t="s">
        <v>22</v>
      </c>
      <c r="H8" s="23" t="s">
        <v>21</v>
      </c>
      <c r="I8" s="24" t="s">
        <v>22</v>
      </c>
      <c r="J8" s="23" t="s">
        <v>23</v>
      </c>
      <c r="K8" s="24" t="s">
        <v>24</v>
      </c>
      <c r="L8" s="25" t="s">
        <v>25</v>
      </c>
      <c r="M8" s="24" t="s">
        <v>26</v>
      </c>
      <c r="N8" s="13" t="s">
        <v>27</v>
      </c>
      <c r="O8" s="23" t="s">
        <v>21</v>
      </c>
      <c r="P8" s="24" t="s">
        <v>22</v>
      </c>
      <c r="Q8" s="23" t="s">
        <v>21</v>
      </c>
      <c r="R8" s="24" t="s">
        <v>22</v>
      </c>
      <c r="S8" s="23" t="s">
        <v>28</v>
      </c>
      <c r="T8" s="24" t="s">
        <v>29</v>
      </c>
      <c r="U8" s="23" t="s">
        <v>30</v>
      </c>
      <c r="V8" s="24" t="s">
        <v>31</v>
      </c>
      <c r="W8" s="23" t="s">
        <v>32</v>
      </c>
      <c r="X8" s="24" t="s">
        <v>33</v>
      </c>
      <c r="Y8" s="24" t="s">
        <v>34</v>
      </c>
      <c r="Z8" s="27"/>
      <c r="AA8" s="27"/>
      <c r="AB8" s="27"/>
    </row>
    <row r="9" spans="1:31">
      <c r="A9" s="109" t="s">
        <v>174</v>
      </c>
      <c r="B9" s="99"/>
      <c r="C9" s="100"/>
      <c r="D9" s="99"/>
      <c r="E9" s="100"/>
      <c r="F9" s="100"/>
      <c r="G9" s="100"/>
      <c r="H9" s="34"/>
      <c r="I9" s="34"/>
      <c r="J9" s="100"/>
      <c r="K9" s="100"/>
      <c r="L9" s="99"/>
      <c r="M9" s="100"/>
      <c r="N9" s="105"/>
      <c r="O9" s="105"/>
      <c r="P9" s="105"/>
      <c r="Q9" s="48"/>
      <c r="R9" s="48"/>
      <c r="S9" s="105"/>
      <c r="T9" s="105"/>
      <c r="U9" s="30"/>
      <c r="V9" s="34"/>
      <c r="W9" s="99"/>
      <c r="X9" s="100"/>
    </row>
    <row r="10" spans="1:31">
      <c r="A10" s="98" t="s">
        <v>175</v>
      </c>
      <c r="B10" s="99">
        <f>2725.47+93.05</f>
        <v>2818.52</v>
      </c>
      <c r="C10" s="100">
        <f>199520.56910335+8873.37473343467</f>
        <v>208393.94383678466</v>
      </c>
      <c r="D10" s="99">
        <v>0</v>
      </c>
      <c r="E10" s="100">
        <v>0</v>
      </c>
      <c r="F10" s="110">
        <v>0</v>
      </c>
      <c r="G10" s="100">
        <v>0</v>
      </c>
      <c r="H10" s="30">
        <v>0</v>
      </c>
      <c r="I10" s="34">
        <v>0</v>
      </c>
      <c r="J10" s="111">
        <f>+F10+H10</f>
        <v>0</v>
      </c>
      <c r="K10" s="101">
        <f>+G10+I10</f>
        <v>0</v>
      </c>
      <c r="L10" s="82">
        <f>+B10+D10+J10</f>
        <v>2818.52</v>
      </c>
      <c r="M10" s="6">
        <f>+C10+E10+K10</f>
        <v>208393.94383678466</v>
      </c>
      <c r="N10" s="48">
        <f>M10/L10</f>
        <v>73.937365651755059</v>
      </c>
      <c r="O10" s="48">
        <v>0</v>
      </c>
      <c r="P10" s="48">
        <f>+O10*N10</f>
        <v>0</v>
      </c>
      <c r="Q10" s="30">
        <v>962.12000000000012</v>
      </c>
      <c r="R10" s="34">
        <f>+Q10*N10</f>
        <v>71136.618240866592</v>
      </c>
      <c r="S10" s="112">
        <f>+O10+Q10</f>
        <v>962.12000000000012</v>
      </c>
      <c r="T10" s="113">
        <f>+P10+R10</f>
        <v>71136.618240866592</v>
      </c>
      <c r="U10" s="30">
        <v>908.82999999999822</v>
      </c>
      <c r="V10" s="6">
        <v>90857.8</v>
      </c>
      <c r="W10" s="30">
        <f t="shared" ref="W10:W38" si="0">L10-U10-Q10</f>
        <v>947.57000000000176</v>
      </c>
      <c r="X10" s="6">
        <f>W10*N10</f>
        <v>70060.829570633665</v>
      </c>
      <c r="Y10" s="4">
        <f t="shared" ref="Y10:Y38" si="1">+X10+V10+R10-M10</f>
        <v>23661.303974715614</v>
      </c>
      <c r="Z10" s="104">
        <f t="shared" ref="Z10:Z38" si="2">IF(Y10&gt;0,(Y10/V10),0)</f>
        <v>0.26042127340432647</v>
      </c>
      <c r="AA10" s="104">
        <v>0.26794068874964794</v>
      </c>
      <c r="AB10" s="114">
        <f t="shared" ref="AB10:AB40" si="3">Z10-AA10</f>
        <v>-7.5194153453214674E-3</v>
      </c>
    </row>
    <row r="11" spans="1:31">
      <c r="A11" s="98" t="s">
        <v>176</v>
      </c>
      <c r="B11" s="99">
        <v>248.55999999999989</v>
      </c>
      <c r="C11" s="100">
        <v>233350.04980224516</v>
      </c>
      <c r="D11" s="99">
        <v>0</v>
      </c>
      <c r="E11" s="100">
        <v>0</v>
      </c>
      <c r="F11" s="110">
        <v>0</v>
      </c>
      <c r="G11" s="100">
        <v>0</v>
      </c>
      <c r="H11" s="30">
        <v>0</v>
      </c>
      <c r="I11" s="34">
        <v>0</v>
      </c>
      <c r="J11" s="111">
        <f t="shared" ref="J11:K38" si="4">+F11+H11</f>
        <v>0</v>
      </c>
      <c r="K11" s="101">
        <f t="shared" si="4"/>
        <v>0</v>
      </c>
      <c r="L11" s="82">
        <f t="shared" ref="L11:M38" si="5">+B11+D11+J11</f>
        <v>248.55999999999989</v>
      </c>
      <c r="M11" s="6">
        <f t="shared" si="5"/>
        <v>233350.04980224516</v>
      </c>
      <c r="N11" s="48">
        <f t="shared" ref="N11:N38" si="6">M11/L11</f>
        <v>938.80773174382546</v>
      </c>
      <c r="O11" s="48">
        <v>0</v>
      </c>
      <c r="P11" s="48">
        <f t="shared" ref="P11:P38" si="7">+O11*N11</f>
        <v>0</v>
      </c>
      <c r="Q11" s="30">
        <v>201.26</v>
      </c>
      <c r="R11" s="34">
        <f t="shared" ref="R11:R38" si="8">+Q11*N11</f>
        <v>188944.44409076229</v>
      </c>
      <c r="S11" s="112">
        <f t="shared" ref="S11:T38" si="9">+O11+Q11</f>
        <v>201.26</v>
      </c>
      <c r="T11" s="113">
        <f t="shared" si="9"/>
        <v>188944.44409076229</v>
      </c>
      <c r="U11" s="30">
        <v>42.929999999999993</v>
      </c>
      <c r="V11" s="6">
        <v>42930</v>
      </c>
      <c r="W11" s="30">
        <f t="shared" si="0"/>
        <v>4.3699999999998909</v>
      </c>
      <c r="X11" s="6">
        <f t="shared" ref="X11:X38" si="10">W11*N11</f>
        <v>4102.5897877204152</v>
      </c>
      <c r="Y11" s="4">
        <f t="shared" si="1"/>
        <v>2626.9840762375388</v>
      </c>
      <c r="Z11" s="104">
        <f t="shared" si="2"/>
        <v>6.1192268256173743E-2</v>
      </c>
      <c r="AA11" s="104">
        <v>6.1207046811573726E-2</v>
      </c>
      <c r="AB11" s="114">
        <f t="shared" si="3"/>
        <v>-1.4778555399982962E-5</v>
      </c>
    </row>
    <row r="12" spans="1:31">
      <c r="A12" s="98" t="s">
        <v>177</v>
      </c>
      <c r="B12" s="99">
        <f>463.56+19.24</f>
        <v>482.8</v>
      </c>
      <c r="C12" s="100">
        <f>496653.634671112+16973.6669783955</f>
        <v>513627.30164950748</v>
      </c>
      <c r="D12" s="99">
        <v>0</v>
      </c>
      <c r="E12" s="100">
        <v>0</v>
      </c>
      <c r="F12" s="110">
        <v>0</v>
      </c>
      <c r="G12" s="100">
        <v>0</v>
      </c>
      <c r="H12" s="30">
        <v>0</v>
      </c>
      <c r="I12" s="34">
        <v>0</v>
      </c>
      <c r="J12" s="111">
        <f t="shared" si="4"/>
        <v>0</v>
      </c>
      <c r="K12" s="101">
        <f t="shared" si="4"/>
        <v>0</v>
      </c>
      <c r="L12" s="82">
        <f t="shared" si="5"/>
        <v>482.8</v>
      </c>
      <c r="M12" s="6">
        <f t="shared" si="5"/>
        <v>513627.30164950748</v>
      </c>
      <c r="N12" s="48">
        <f t="shared" si="6"/>
        <v>1063.8510804670825</v>
      </c>
      <c r="O12" s="48">
        <v>0</v>
      </c>
      <c r="P12" s="48">
        <f t="shared" si="7"/>
        <v>0</v>
      </c>
      <c r="Q12" s="30">
        <v>413.89</v>
      </c>
      <c r="R12" s="34">
        <f t="shared" si="8"/>
        <v>440317.32369452075</v>
      </c>
      <c r="S12" s="112">
        <f t="shared" si="9"/>
        <v>413.89</v>
      </c>
      <c r="T12" s="113">
        <f t="shared" si="9"/>
        <v>440317.32369452075</v>
      </c>
      <c r="U12" s="30">
        <v>0</v>
      </c>
      <c r="V12" s="6">
        <v>0</v>
      </c>
      <c r="W12" s="30">
        <f t="shared" si="0"/>
        <v>68.910000000000025</v>
      </c>
      <c r="X12" s="6">
        <f t="shared" si="10"/>
        <v>73309.97795498668</v>
      </c>
      <c r="Y12" s="4">
        <f t="shared" si="1"/>
        <v>0</v>
      </c>
      <c r="Z12" s="104">
        <f t="shared" si="2"/>
        <v>0</v>
      </c>
      <c r="AA12" s="104">
        <v>2.6008921722177912E-2</v>
      </c>
      <c r="AB12" s="114">
        <f t="shared" si="3"/>
        <v>-2.6008921722177912E-2</v>
      </c>
    </row>
    <row r="13" spans="1:31">
      <c r="A13" s="98" t="s">
        <v>178</v>
      </c>
      <c r="B13" s="99">
        <f>4.33+32.91</f>
        <v>37.239999999999995</v>
      </c>
      <c r="C13" s="100">
        <f>5196+26622.8824312415</f>
        <v>31818.882431241502</v>
      </c>
      <c r="D13" s="99">
        <v>0</v>
      </c>
      <c r="E13" s="100">
        <v>0</v>
      </c>
      <c r="F13" s="110">
        <v>0</v>
      </c>
      <c r="G13" s="100">
        <v>0</v>
      </c>
      <c r="H13" s="30">
        <v>0</v>
      </c>
      <c r="I13" s="34">
        <v>0</v>
      </c>
      <c r="J13" s="111">
        <f t="shared" si="4"/>
        <v>0</v>
      </c>
      <c r="K13" s="101">
        <f t="shared" si="4"/>
        <v>0</v>
      </c>
      <c r="L13" s="82">
        <f t="shared" si="5"/>
        <v>37.239999999999995</v>
      </c>
      <c r="M13" s="6">
        <f t="shared" si="5"/>
        <v>31818.882431241502</v>
      </c>
      <c r="N13" s="48">
        <f t="shared" si="6"/>
        <v>854.42756260047008</v>
      </c>
      <c r="O13" s="48">
        <v>0</v>
      </c>
      <c r="P13" s="48">
        <f t="shared" si="7"/>
        <v>0</v>
      </c>
      <c r="Q13" s="30">
        <v>30.12</v>
      </c>
      <c r="R13" s="34">
        <f t="shared" si="8"/>
        <v>25735.358185526158</v>
      </c>
      <c r="S13" s="112">
        <f t="shared" si="9"/>
        <v>30.12</v>
      </c>
      <c r="T13" s="113">
        <f t="shared" si="9"/>
        <v>25735.358185526158</v>
      </c>
      <c r="U13" s="30">
        <v>0</v>
      </c>
      <c r="V13" s="6">
        <v>0</v>
      </c>
      <c r="W13" s="30">
        <f t="shared" si="0"/>
        <v>7.1199999999999939</v>
      </c>
      <c r="X13" s="6">
        <f t="shared" si="10"/>
        <v>6083.5242457153417</v>
      </c>
      <c r="Y13" s="4">
        <f t="shared" si="1"/>
        <v>0</v>
      </c>
      <c r="Z13" s="104">
        <f t="shared" si="2"/>
        <v>0</v>
      </c>
      <c r="AA13" s="104">
        <v>0</v>
      </c>
      <c r="AB13" s="114">
        <f t="shared" si="3"/>
        <v>0</v>
      </c>
    </row>
    <row r="14" spans="1:31">
      <c r="A14" s="98" t="s">
        <v>179</v>
      </c>
      <c r="B14" s="99">
        <v>19.420000000000002</v>
      </c>
      <c r="C14" s="100">
        <v>240808</v>
      </c>
      <c r="D14" s="99">
        <v>0</v>
      </c>
      <c r="E14" s="100">
        <v>0</v>
      </c>
      <c r="F14" s="110">
        <v>0</v>
      </c>
      <c r="G14" s="100">
        <v>0</v>
      </c>
      <c r="H14" s="30">
        <v>0</v>
      </c>
      <c r="I14" s="34">
        <v>0</v>
      </c>
      <c r="J14" s="111">
        <f t="shared" si="4"/>
        <v>0</v>
      </c>
      <c r="K14" s="101">
        <f t="shared" si="4"/>
        <v>0</v>
      </c>
      <c r="L14" s="82">
        <f t="shared" si="5"/>
        <v>19.420000000000002</v>
      </c>
      <c r="M14" s="6">
        <f t="shared" si="5"/>
        <v>240808</v>
      </c>
      <c r="N14" s="48">
        <f t="shared" si="6"/>
        <v>12399.999999999998</v>
      </c>
      <c r="O14" s="48">
        <v>0</v>
      </c>
      <c r="P14" s="48">
        <f t="shared" si="7"/>
        <v>0</v>
      </c>
      <c r="Q14" s="30">
        <v>15.22</v>
      </c>
      <c r="R14" s="34">
        <f t="shared" si="8"/>
        <v>188727.99999999997</v>
      </c>
      <c r="S14" s="112">
        <f t="shared" si="9"/>
        <v>15.22</v>
      </c>
      <c r="T14" s="113">
        <f t="shared" si="9"/>
        <v>188727.99999999997</v>
      </c>
      <c r="U14" s="30">
        <v>0</v>
      </c>
      <c r="V14" s="6">
        <v>0</v>
      </c>
      <c r="W14" s="30">
        <f t="shared" si="0"/>
        <v>4.2000000000000011</v>
      </c>
      <c r="X14" s="6">
        <f t="shared" si="10"/>
        <v>52080.000000000007</v>
      </c>
      <c r="Y14" s="4">
        <f t="shared" si="1"/>
        <v>0</v>
      </c>
      <c r="Z14" s="104">
        <f t="shared" si="2"/>
        <v>0</v>
      </c>
      <c r="AA14" s="104">
        <v>0</v>
      </c>
      <c r="AB14" s="114">
        <f t="shared" si="3"/>
        <v>0</v>
      </c>
    </row>
    <row r="15" spans="1:31">
      <c r="A15" s="98" t="s">
        <v>180</v>
      </c>
      <c r="B15" s="99">
        <v>70.344999999999999</v>
      </c>
      <c r="C15" s="100">
        <v>88634.620813868416</v>
      </c>
      <c r="D15" s="99">
        <v>0</v>
      </c>
      <c r="E15" s="100">
        <v>0</v>
      </c>
      <c r="F15" s="110">
        <v>0</v>
      </c>
      <c r="G15" s="100">
        <v>0</v>
      </c>
      <c r="H15" s="30">
        <v>0</v>
      </c>
      <c r="I15" s="34">
        <v>0</v>
      </c>
      <c r="J15" s="111">
        <f t="shared" si="4"/>
        <v>0</v>
      </c>
      <c r="K15" s="101">
        <f t="shared" si="4"/>
        <v>0</v>
      </c>
      <c r="L15" s="82">
        <f t="shared" si="5"/>
        <v>70.344999999999999</v>
      </c>
      <c r="M15" s="6">
        <f t="shared" si="5"/>
        <v>88634.620813868416</v>
      </c>
      <c r="N15" s="48">
        <f t="shared" si="6"/>
        <v>1259.9988743175552</v>
      </c>
      <c r="O15" s="48">
        <v>0</v>
      </c>
      <c r="P15" s="48">
        <f t="shared" si="7"/>
        <v>0</v>
      </c>
      <c r="Q15" s="30">
        <v>0</v>
      </c>
      <c r="R15" s="34">
        <f t="shared" si="8"/>
        <v>0</v>
      </c>
      <c r="S15" s="112">
        <f t="shared" si="9"/>
        <v>0</v>
      </c>
      <c r="T15" s="113">
        <f t="shared" si="9"/>
        <v>0</v>
      </c>
      <c r="U15" s="30">
        <v>0</v>
      </c>
      <c r="V15" s="6">
        <v>0</v>
      </c>
      <c r="W15" s="30">
        <f t="shared" si="0"/>
        <v>70.344999999999999</v>
      </c>
      <c r="X15" s="6">
        <f t="shared" si="10"/>
        <v>88634.620813868416</v>
      </c>
      <c r="Y15" s="4">
        <f t="shared" si="1"/>
        <v>0</v>
      </c>
      <c r="Z15" s="104">
        <f t="shared" si="2"/>
        <v>0</v>
      </c>
      <c r="AA15" s="104">
        <v>0</v>
      </c>
      <c r="AB15" s="114">
        <f t="shared" si="3"/>
        <v>0</v>
      </c>
      <c r="AD15" s="99">
        <v>15.355</v>
      </c>
      <c r="AE15" s="100">
        <v>21190</v>
      </c>
    </row>
    <row r="16" spans="1:31">
      <c r="A16" s="98" t="s">
        <v>181</v>
      </c>
      <c r="B16" s="99">
        <v>40.53</v>
      </c>
      <c r="C16" s="100">
        <v>47712.53924756113</v>
      </c>
      <c r="D16" s="99">
        <v>0</v>
      </c>
      <c r="E16" s="100">
        <v>0</v>
      </c>
      <c r="F16" s="110">
        <v>0</v>
      </c>
      <c r="G16" s="100">
        <v>0</v>
      </c>
      <c r="H16" s="30">
        <v>0</v>
      </c>
      <c r="I16" s="34">
        <v>0</v>
      </c>
      <c r="J16" s="111">
        <f t="shared" si="4"/>
        <v>0</v>
      </c>
      <c r="K16" s="101">
        <f t="shared" si="4"/>
        <v>0</v>
      </c>
      <c r="L16" s="82">
        <f t="shared" si="5"/>
        <v>40.53</v>
      </c>
      <c r="M16" s="6">
        <f t="shared" si="5"/>
        <v>47712.53924756113</v>
      </c>
      <c r="N16" s="48">
        <f t="shared" si="6"/>
        <v>1177.2153774379751</v>
      </c>
      <c r="O16" s="48">
        <v>0</v>
      </c>
      <c r="P16" s="48">
        <f t="shared" si="7"/>
        <v>0</v>
      </c>
      <c r="Q16" s="30">
        <v>0</v>
      </c>
      <c r="R16" s="34">
        <f t="shared" si="8"/>
        <v>0</v>
      </c>
      <c r="S16" s="112">
        <f t="shared" si="9"/>
        <v>0</v>
      </c>
      <c r="T16" s="113">
        <f t="shared" si="9"/>
        <v>0</v>
      </c>
      <c r="U16" s="30">
        <v>34.53</v>
      </c>
      <c r="V16" s="6">
        <v>48342</v>
      </c>
      <c r="W16" s="30">
        <f t="shared" si="0"/>
        <v>6</v>
      </c>
      <c r="X16" s="6">
        <f t="shared" si="10"/>
        <v>7063.2922646278512</v>
      </c>
      <c r="Y16" s="4">
        <f t="shared" si="1"/>
        <v>7692.7530170667233</v>
      </c>
      <c r="Z16" s="104">
        <f t="shared" si="2"/>
        <v>0.1591318732585893</v>
      </c>
      <c r="AA16" s="104">
        <v>0</v>
      </c>
      <c r="AB16" s="114">
        <f t="shared" si="3"/>
        <v>0.1591318732585893</v>
      </c>
    </row>
    <row r="17" spans="1:28">
      <c r="A17" s="98" t="s">
        <v>182</v>
      </c>
      <c r="B17" s="99">
        <f>21.58+235.01</f>
        <v>256.58999999999997</v>
      </c>
      <c r="C17" s="100">
        <f>2157.40120859779+23299.9231944982</f>
        <v>25457.32440309599</v>
      </c>
      <c r="D17" s="99">
        <v>0</v>
      </c>
      <c r="E17" s="100">
        <v>0</v>
      </c>
      <c r="F17" s="110">
        <v>0</v>
      </c>
      <c r="G17" s="100">
        <v>0</v>
      </c>
      <c r="H17" s="30">
        <v>0</v>
      </c>
      <c r="I17" s="34">
        <v>0</v>
      </c>
      <c r="J17" s="111">
        <f t="shared" si="4"/>
        <v>0</v>
      </c>
      <c r="K17" s="101">
        <f t="shared" si="4"/>
        <v>0</v>
      </c>
      <c r="L17" s="82">
        <f t="shared" si="5"/>
        <v>256.58999999999997</v>
      </c>
      <c r="M17" s="6">
        <f t="shared" si="5"/>
        <v>25457.32440309599</v>
      </c>
      <c r="N17" s="48">
        <f t="shared" si="6"/>
        <v>99.214016146755498</v>
      </c>
      <c r="O17" s="48">
        <v>0</v>
      </c>
      <c r="P17" s="48">
        <f t="shared" si="7"/>
        <v>0</v>
      </c>
      <c r="Q17" s="30">
        <v>6.2199999999999989</v>
      </c>
      <c r="R17" s="34">
        <f t="shared" si="8"/>
        <v>617.11118043281908</v>
      </c>
      <c r="S17" s="112">
        <f t="shared" si="9"/>
        <v>6.2199999999999989</v>
      </c>
      <c r="T17" s="113">
        <f t="shared" si="9"/>
        <v>617.11118043281908</v>
      </c>
      <c r="U17" s="30">
        <v>21.09</v>
      </c>
      <c r="V17" s="6">
        <v>2963.5</v>
      </c>
      <c r="W17" s="30">
        <f t="shared" si="0"/>
        <v>229.27999999999997</v>
      </c>
      <c r="X17" s="6">
        <f t="shared" si="10"/>
        <v>22747.789622128097</v>
      </c>
      <c r="Y17" s="4">
        <f t="shared" si="1"/>
        <v>871.07639946492418</v>
      </c>
      <c r="Z17" s="104">
        <f t="shared" si="2"/>
        <v>0.29393500909901271</v>
      </c>
      <c r="AA17" s="104">
        <v>0</v>
      </c>
      <c r="AB17" s="114">
        <f t="shared" si="3"/>
        <v>0.29393500909901271</v>
      </c>
    </row>
    <row r="18" spans="1:28">
      <c r="A18" s="98" t="s">
        <v>183</v>
      </c>
      <c r="B18" s="99">
        <v>164.55500000000001</v>
      </c>
      <c r="C18" s="100">
        <v>241895.95380054251</v>
      </c>
      <c r="D18" s="99">
        <v>0</v>
      </c>
      <c r="E18" s="100">
        <v>0</v>
      </c>
      <c r="F18" s="110">
        <v>0</v>
      </c>
      <c r="G18" s="100">
        <v>0</v>
      </c>
      <c r="H18" s="30">
        <v>0</v>
      </c>
      <c r="I18" s="34">
        <v>0</v>
      </c>
      <c r="J18" s="111">
        <f t="shared" si="4"/>
        <v>0</v>
      </c>
      <c r="K18" s="101">
        <f t="shared" si="4"/>
        <v>0</v>
      </c>
      <c r="L18" s="82">
        <f t="shared" si="5"/>
        <v>164.55500000000001</v>
      </c>
      <c r="M18" s="6">
        <f t="shared" si="5"/>
        <v>241895.95380054251</v>
      </c>
      <c r="N18" s="48">
        <f t="shared" si="6"/>
        <v>1470.0006307954332</v>
      </c>
      <c r="O18" s="48">
        <v>0</v>
      </c>
      <c r="P18" s="48">
        <f t="shared" si="7"/>
        <v>0</v>
      </c>
      <c r="Q18" s="30">
        <v>75.02</v>
      </c>
      <c r="R18" s="34">
        <f t="shared" si="8"/>
        <v>110279.44732227339</v>
      </c>
      <c r="S18" s="112">
        <f t="shared" si="9"/>
        <v>75.02</v>
      </c>
      <c r="T18" s="113">
        <f t="shared" si="9"/>
        <v>110279.44732227339</v>
      </c>
      <c r="U18" s="30">
        <v>89.535000000000011</v>
      </c>
      <c r="V18" s="6">
        <v>134417.5</v>
      </c>
      <c r="W18" s="30">
        <f t="shared" si="0"/>
        <v>0</v>
      </c>
      <c r="X18" s="6">
        <f t="shared" si="10"/>
        <v>0</v>
      </c>
      <c r="Y18" s="4">
        <f t="shared" si="1"/>
        <v>2800.9935217308812</v>
      </c>
      <c r="Z18" s="104">
        <f t="shared" si="2"/>
        <v>2.0838012325261824E-2</v>
      </c>
      <c r="AA18" s="104">
        <v>3.1902829306727082E-2</v>
      </c>
      <c r="AB18" s="114">
        <f t="shared" si="3"/>
        <v>-1.1064816981465258E-2</v>
      </c>
    </row>
    <row r="19" spans="1:28">
      <c r="A19" s="98" t="s">
        <v>184</v>
      </c>
      <c r="B19" s="99">
        <v>23.8</v>
      </c>
      <c r="C19" s="100">
        <v>30795.774396050769</v>
      </c>
      <c r="D19" s="99">
        <v>0</v>
      </c>
      <c r="E19" s="100">
        <v>0</v>
      </c>
      <c r="F19" s="110">
        <v>0</v>
      </c>
      <c r="G19" s="100">
        <v>0</v>
      </c>
      <c r="H19" s="30">
        <v>0</v>
      </c>
      <c r="I19" s="34">
        <v>0</v>
      </c>
      <c r="J19" s="111">
        <f t="shared" si="4"/>
        <v>0</v>
      </c>
      <c r="K19" s="101">
        <f t="shared" si="4"/>
        <v>0</v>
      </c>
      <c r="L19" s="82">
        <f t="shared" si="5"/>
        <v>23.8</v>
      </c>
      <c r="M19" s="6">
        <f t="shared" si="5"/>
        <v>30795.774396050769</v>
      </c>
      <c r="N19" s="48">
        <f t="shared" si="6"/>
        <v>1293.9401006744019</v>
      </c>
      <c r="O19" s="48">
        <v>0</v>
      </c>
      <c r="P19" s="48">
        <f t="shared" si="7"/>
        <v>0</v>
      </c>
      <c r="Q19" s="30">
        <v>0</v>
      </c>
      <c r="R19" s="34">
        <f t="shared" si="8"/>
        <v>0</v>
      </c>
      <c r="S19" s="112">
        <f t="shared" si="9"/>
        <v>0</v>
      </c>
      <c r="T19" s="113">
        <f t="shared" si="9"/>
        <v>0</v>
      </c>
      <c r="U19" s="30">
        <v>23.8</v>
      </c>
      <c r="V19" s="6">
        <v>46378</v>
      </c>
      <c r="W19" s="30">
        <f t="shared" si="0"/>
        <v>0</v>
      </c>
      <c r="X19" s="6">
        <f t="shared" si="10"/>
        <v>0</v>
      </c>
      <c r="Y19" s="4">
        <f t="shared" si="1"/>
        <v>15582.225603949231</v>
      </c>
      <c r="Z19" s="104">
        <f t="shared" si="2"/>
        <v>0.33598313001744862</v>
      </c>
      <c r="AA19" s="104">
        <v>0</v>
      </c>
      <c r="AB19" s="114">
        <f t="shared" si="3"/>
        <v>0.33598313001744862</v>
      </c>
    </row>
    <row r="20" spans="1:28">
      <c r="A20" s="98" t="s">
        <v>185</v>
      </c>
      <c r="B20" s="99">
        <v>3.55</v>
      </c>
      <c r="C20" s="100">
        <v>7099.9904418107217</v>
      </c>
      <c r="D20" s="99">
        <v>0</v>
      </c>
      <c r="E20" s="100">
        <v>0</v>
      </c>
      <c r="F20" s="110">
        <v>0</v>
      </c>
      <c r="G20" s="100">
        <v>0</v>
      </c>
      <c r="H20" s="30">
        <v>0</v>
      </c>
      <c r="I20" s="34">
        <v>0</v>
      </c>
      <c r="J20" s="111">
        <f t="shared" si="4"/>
        <v>0</v>
      </c>
      <c r="K20" s="101">
        <f t="shared" si="4"/>
        <v>0</v>
      </c>
      <c r="L20" s="82">
        <f t="shared" si="5"/>
        <v>3.55</v>
      </c>
      <c r="M20" s="6">
        <f t="shared" si="5"/>
        <v>7099.9904418107217</v>
      </c>
      <c r="N20" s="48">
        <f t="shared" si="6"/>
        <v>1999.997307552316</v>
      </c>
      <c r="O20" s="48">
        <v>0</v>
      </c>
      <c r="P20" s="48">
        <f t="shared" si="7"/>
        <v>0</v>
      </c>
      <c r="Q20" s="30">
        <v>0</v>
      </c>
      <c r="R20" s="34">
        <f t="shared" si="8"/>
        <v>0</v>
      </c>
      <c r="S20" s="112">
        <f t="shared" si="9"/>
        <v>0</v>
      </c>
      <c r="T20" s="113">
        <f t="shared" si="9"/>
        <v>0</v>
      </c>
      <c r="U20" s="30">
        <v>3.55</v>
      </c>
      <c r="V20" s="6">
        <v>9940</v>
      </c>
      <c r="W20" s="30">
        <f t="shared" si="0"/>
        <v>0</v>
      </c>
      <c r="X20" s="6">
        <f t="shared" si="10"/>
        <v>0</v>
      </c>
      <c r="Y20" s="4">
        <f t="shared" si="1"/>
        <v>2840.0095581892783</v>
      </c>
      <c r="Z20" s="104">
        <f t="shared" si="2"/>
        <v>0.28571524730274428</v>
      </c>
      <c r="AA20" s="104">
        <v>0.28571524730274434</v>
      </c>
      <c r="AB20" s="114">
        <f t="shared" si="3"/>
        <v>0</v>
      </c>
    </row>
    <row r="21" spans="1:28">
      <c r="A21" s="98" t="s">
        <v>186</v>
      </c>
      <c r="B21" s="99">
        <v>202.89000000000001</v>
      </c>
      <c r="C21" s="100">
        <v>53494.767996856186</v>
      </c>
      <c r="D21" s="99">
        <v>0</v>
      </c>
      <c r="E21" s="100">
        <v>0</v>
      </c>
      <c r="F21" s="110">
        <v>0</v>
      </c>
      <c r="G21" s="100">
        <v>0</v>
      </c>
      <c r="H21" s="30">
        <v>0</v>
      </c>
      <c r="I21" s="34">
        <v>0</v>
      </c>
      <c r="J21" s="111">
        <f t="shared" si="4"/>
        <v>0</v>
      </c>
      <c r="K21" s="101">
        <f t="shared" si="4"/>
        <v>0</v>
      </c>
      <c r="L21" s="82">
        <f t="shared" si="5"/>
        <v>202.89000000000001</v>
      </c>
      <c r="M21" s="6">
        <f t="shared" si="5"/>
        <v>53494.767996856186</v>
      </c>
      <c r="N21" s="48">
        <f t="shared" si="6"/>
        <v>263.66389667729402</v>
      </c>
      <c r="O21" s="48">
        <v>0</v>
      </c>
      <c r="P21" s="48">
        <f t="shared" si="7"/>
        <v>0</v>
      </c>
      <c r="Q21" s="30">
        <v>140</v>
      </c>
      <c r="R21" s="34">
        <f t="shared" si="8"/>
        <v>36912.945534821163</v>
      </c>
      <c r="S21" s="112">
        <f t="shared" si="9"/>
        <v>140</v>
      </c>
      <c r="T21" s="113">
        <f t="shared" si="9"/>
        <v>36912.945534821163</v>
      </c>
      <c r="U21" s="30">
        <v>19.73</v>
      </c>
      <c r="V21" s="6">
        <v>7283</v>
      </c>
      <c r="W21" s="30">
        <f t="shared" si="0"/>
        <v>43.160000000000025</v>
      </c>
      <c r="X21" s="6">
        <f t="shared" si="10"/>
        <v>11379.733780592016</v>
      </c>
      <c r="Y21" s="4">
        <f t="shared" si="1"/>
        <v>2080.911318556995</v>
      </c>
      <c r="Z21" s="104">
        <f t="shared" si="2"/>
        <v>0.28572172436591997</v>
      </c>
      <c r="AA21" s="104">
        <v>0.24667458092201849</v>
      </c>
      <c r="AB21" s="114">
        <f t="shared" si="3"/>
        <v>3.9047143443901478E-2</v>
      </c>
    </row>
    <row r="22" spans="1:28">
      <c r="A22" s="98" t="s">
        <v>187</v>
      </c>
      <c r="B22" s="99">
        <v>0.03</v>
      </c>
      <c r="C22" s="100">
        <v>78.046767580684289</v>
      </c>
      <c r="D22" s="99">
        <v>0</v>
      </c>
      <c r="E22" s="100">
        <v>0</v>
      </c>
      <c r="F22" s="110">
        <v>0</v>
      </c>
      <c r="G22" s="100">
        <v>0</v>
      </c>
      <c r="H22" s="30">
        <v>0</v>
      </c>
      <c r="I22" s="34">
        <v>0</v>
      </c>
      <c r="J22" s="111">
        <f t="shared" si="4"/>
        <v>0</v>
      </c>
      <c r="K22" s="101">
        <f t="shared" si="4"/>
        <v>0</v>
      </c>
      <c r="L22" s="82">
        <f t="shared" si="5"/>
        <v>0.03</v>
      </c>
      <c r="M22" s="6">
        <f t="shared" si="5"/>
        <v>78.046767580684289</v>
      </c>
      <c r="N22" s="48">
        <f t="shared" si="6"/>
        <v>2601.5589193561432</v>
      </c>
      <c r="O22" s="48">
        <v>0</v>
      </c>
      <c r="P22" s="48">
        <f t="shared" si="7"/>
        <v>0</v>
      </c>
      <c r="Q22" s="30">
        <v>0</v>
      </c>
      <c r="R22" s="34">
        <f t="shared" si="8"/>
        <v>0</v>
      </c>
      <c r="S22" s="112">
        <f t="shared" si="9"/>
        <v>0</v>
      </c>
      <c r="T22" s="113">
        <f t="shared" si="9"/>
        <v>0</v>
      </c>
      <c r="U22" s="30">
        <v>0.03</v>
      </c>
      <c r="V22" s="6">
        <v>108</v>
      </c>
      <c r="W22" s="30">
        <f t="shared" si="0"/>
        <v>0</v>
      </c>
      <c r="X22" s="6">
        <f t="shared" si="10"/>
        <v>0</v>
      </c>
      <c r="Y22" s="4">
        <f t="shared" si="1"/>
        <v>29.953232419315711</v>
      </c>
      <c r="Z22" s="104">
        <f t="shared" si="2"/>
        <v>0.27734474462329362</v>
      </c>
      <c r="AA22" s="104">
        <v>0</v>
      </c>
      <c r="AB22" s="114">
        <f t="shared" si="3"/>
        <v>0.27734474462329362</v>
      </c>
    </row>
    <row r="23" spans="1:28">
      <c r="A23" s="98" t="s">
        <v>188</v>
      </c>
      <c r="B23" s="99">
        <v>4.2699999999999996</v>
      </c>
      <c r="C23" s="100">
        <v>11692.567635918693</v>
      </c>
      <c r="D23" s="99">
        <v>0</v>
      </c>
      <c r="E23" s="100">
        <v>0</v>
      </c>
      <c r="F23" s="110">
        <v>0</v>
      </c>
      <c r="G23" s="100">
        <v>0</v>
      </c>
      <c r="H23" s="30">
        <v>0</v>
      </c>
      <c r="I23" s="34">
        <v>0</v>
      </c>
      <c r="J23" s="111">
        <f t="shared" si="4"/>
        <v>0</v>
      </c>
      <c r="K23" s="101">
        <f t="shared" si="4"/>
        <v>0</v>
      </c>
      <c r="L23" s="82">
        <f t="shared" si="5"/>
        <v>4.2699999999999996</v>
      </c>
      <c r="M23" s="6">
        <f t="shared" si="5"/>
        <v>11692.567635918693</v>
      </c>
      <c r="N23" s="48">
        <f t="shared" si="6"/>
        <v>2738.3062379200687</v>
      </c>
      <c r="O23" s="48">
        <v>0</v>
      </c>
      <c r="P23" s="48">
        <f t="shared" si="7"/>
        <v>0</v>
      </c>
      <c r="Q23" s="30">
        <v>0</v>
      </c>
      <c r="R23" s="34">
        <f t="shared" si="8"/>
        <v>0</v>
      </c>
      <c r="S23" s="112">
        <f t="shared" si="9"/>
        <v>0</v>
      </c>
      <c r="T23" s="113">
        <f t="shared" si="9"/>
        <v>0</v>
      </c>
      <c r="U23" s="30">
        <v>4.2699999999999996</v>
      </c>
      <c r="V23" s="6">
        <v>16226</v>
      </c>
      <c r="W23" s="30">
        <f t="shared" si="0"/>
        <v>0</v>
      </c>
      <c r="X23" s="6">
        <f t="shared" si="10"/>
        <v>0</v>
      </c>
      <c r="Y23" s="4">
        <f t="shared" si="1"/>
        <v>4533.4323640813072</v>
      </c>
      <c r="Z23" s="104">
        <f t="shared" si="2"/>
        <v>0.27939309528419248</v>
      </c>
      <c r="AA23" s="104">
        <v>0.27939309528419193</v>
      </c>
      <c r="AB23" s="114">
        <f t="shared" si="3"/>
        <v>5.5511151231257827E-16</v>
      </c>
    </row>
    <row r="24" spans="1:28">
      <c r="A24" s="98" t="s">
        <v>189</v>
      </c>
      <c r="B24" s="99">
        <v>2.4</v>
      </c>
      <c r="C24" s="100">
        <v>6718.0880807100193</v>
      </c>
      <c r="D24" s="99">
        <v>0</v>
      </c>
      <c r="E24" s="100">
        <v>0</v>
      </c>
      <c r="F24" s="110">
        <v>0</v>
      </c>
      <c r="G24" s="100">
        <v>0</v>
      </c>
      <c r="H24" s="30">
        <v>0</v>
      </c>
      <c r="I24" s="34">
        <v>0</v>
      </c>
      <c r="J24" s="111">
        <f t="shared" si="4"/>
        <v>0</v>
      </c>
      <c r="K24" s="101">
        <f t="shared" si="4"/>
        <v>0</v>
      </c>
      <c r="L24" s="82">
        <f t="shared" si="5"/>
        <v>2.4</v>
      </c>
      <c r="M24" s="6">
        <f t="shared" si="5"/>
        <v>6718.0880807100193</v>
      </c>
      <c r="N24" s="48">
        <f t="shared" si="6"/>
        <v>2799.203366962508</v>
      </c>
      <c r="O24" s="48">
        <v>0</v>
      </c>
      <c r="P24" s="48">
        <f t="shared" si="7"/>
        <v>0</v>
      </c>
      <c r="Q24" s="30">
        <v>0</v>
      </c>
      <c r="R24" s="34">
        <f t="shared" si="8"/>
        <v>0</v>
      </c>
      <c r="S24" s="112">
        <f t="shared" si="9"/>
        <v>0</v>
      </c>
      <c r="T24" s="113">
        <f t="shared" si="9"/>
        <v>0</v>
      </c>
      <c r="U24" s="30">
        <v>0</v>
      </c>
      <c r="V24" s="6">
        <v>0</v>
      </c>
      <c r="W24" s="30">
        <f t="shared" si="0"/>
        <v>2.4</v>
      </c>
      <c r="X24" s="6">
        <f t="shared" si="10"/>
        <v>6718.0880807100193</v>
      </c>
      <c r="Y24" s="4">
        <f t="shared" si="1"/>
        <v>0</v>
      </c>
      <c r="Z24" s="104">
        <f t="shared" si="2"/>
        <v>0</v>
      </c>
      <c r="AA24" s="104">
        <v>0</v>
      </c>
      <c r="AB24" s="114">
        <f t="shared" si="3"/>
        <v>0</v>
      </c>
    </row>
    <row r="25" spans="1:28">
      <c r="A25" s="98" t="s">
        <v>190</v>
      </c>
      <c r="B25" s="99">
        <v>6.87</v>
      </c>
      <c r="C25" s="100">
        <v>1991.1265702098528</v>
      </c>
      <c r="D25" s="99">
        <v>0</v>
      </c>
      <c r="E25" s="100">
        <v>0</v>
      </c>
      <c r="F25" s="110">
        <v>0</v>
      </c>
      <c r="G25" s="100">
        <v>0</v>
      </c>
      <c r="H25" s="30">
        <v>0</v>
      </c>
      <c r="I25" s="34">
        <v>0</v>
      </c>
      <c r="J25" s="111">
        <f t="shared" si="4"/>
        <v>0</v>
      </c>
      <c r="K25" s="101">
        <f t="shared" si="4"/>
        <v>0</v>
      </c>
      <c r="L25" s="82">
        <f t="shared" si="5"/>
        <v>6.87</v>
      </c>
      <c r="M25" s="6">
        <f t="shared" si="5"/>
        <v>1991.1265702098528</v>
      </c>
      <c r="N25" s="48">
        <f t="shared" si="6"/>
        <v>289.8291950814924</v>
      </c>
      <c r="O25" s="48">
        <v>0</v>
      </c>
      <c r="P25" s="48">
        <f t="shared" si="7"/>
        <v>0</v>
      </c>
      <c r="Q25" s="30">
        <v>0</v>
      </c>
      <c r="R25" s="34">
        <f t="shared" si="8"/>
        <v>0</v>
      </c>
      <c r="S25" s="112">
        <f t="shared" si="9"/>
        <v>0</v>
      </c>
      <c r="T25" s="113">
        <f t="shared" si="9"/>
        <v>0</v>
      </c>
      <c r="U25" s="30">
        <v>0</v>
      </c>
      <c r="V25" s="6">
        <v>0</v>
      </c>
      <c r="W25" s="30">
        <f t="shared" si="0"/>
        <v>6.87</v>
      </c>
      <c r="X25" s="6">
        <f t="shared" si="10"/>
        <v>1991.1265702098528</v>
      </c>
      <c r="Y25" s="4">
        <f t="shared" si="1"/>
        <v>0</v>
      </c>
      <c r="Z25" s="104">
        <f t="shared" si="2"/>
        <v>0</v>
      </c>
      <c r="AA25" s="104">
        <v>0</v>
      </c>
      <c r="AB25" s="114">
        <f t="shared" si="3"/>
        <v>0</v>
      </c>
    </row>
    <row r="26" spans="1:28">
      <c r="A26" s="98" t="s">
        <v>191</v>
      </c>
      <c r="B26" s="99">
        <v>3.9</v>
      </c>
      <c r="C26" s="100">
        <v>11306.224687422227</v>
      </c>
      <c r="D26" s="99">
        <v>0</v>
      </c>
      <c r="E26" s="100">
        <v>0</v>
      </c>
      <c r="F26" s="110">
        <v>0</v>
      </c>
      <c r="G26" s="100">
        <v>0</v>
      </c>
      <c r="H26" s="30">
        <v>0</v>
      </c>
      <c r="I26" s="34">
        <v>0</v>
      </c>
      <c r="J26" s="111">
        <f t="shared" si="4"/>
        <v>0</v>
      </c>
      <c r="K26" s="101">
        <f t="shared" si="4"/>
        <v>0</v>
      </c>
      <c r="L26" s="82">
        <f t="shared" si="5"/>
        <v>3.9</v>
      </c>
      <c r="M26" s="6">
        <f t="shared" si="5"/>
        <v>11306.224687422227</v>
      </c>
      <c r="N26" s="48">
        <f t="shared" si="6"/>
        <v>2899.0319711339043</v>
      </c>
      <c r="O26" s="48">
        <v>0</v>
      </c>
      <c r="P26" s="48">
        <f t="shared" si="7"/>
        <v>0</v>
      </c>
      <c r="Q26" s="30">
        <v>0</v>
      </c>
      <c r="R26" s="34">
        <f t="shared" si="8"/>
        <v>0</v>
      </c>
      <c r="S26" s="112">
        <f t="shared" si="9"/>
        <v>0</v>
      </c>
      <c r="T26" s="113">
        <f t="shared" si="9"/>
        <v>0</v>
      </c>
      <c r="U26" s="30">
        <v>3.9</v>
      </c>
      <c r="V26" s="6">
        <v>2100</v>
      </c>
      <c r="W26" s="30">
        <f t="shared" si="0"/>
        <v>0</v>
      </c>
      <c r="X26" s="6">
        <f t="shared" si="10"/>
        <v>0</v>
      </c>
      <c r="Y26" s="4">
        <f>+X26+V26+R26-M26</f>
        <v>-9206.2246874222274</v>
      </c>
      <c r="Z26" s="104">
        <f t="shared" si="2"/>
        <v>0</v>
      </c>
      <c r="AA26" s="104">
        <v>0</v>
      </c>
      <c r="AB26" s="114">
        <f t="shared" si="3"/>
        <v>0</v>
      </c>
    </row>
    <row r="27" spans="1:28">
      <c r="A27" s="98" t="s">
        <v>192</v>
      </c>
      <c r="B27" s="99">
        <v>1103.6899999999998</v>
      </c>
      <c r="C27" s="100">
        <v>361299.57354978833</v>
      </c>
      <c r="D27" s="99">
        <v>0</v>
      </c>
      <c r="E27" s="100">
        <v>0</v>
      </c>
      <c r="F27" s="110">
        <v>0</v>
      </c>
      <c r="G27" s="100">
        <v>0</v>
      </c>
      <c r="H27" s="30">
        <v>0</v>
      </c>
      <c r="I27" s="34">
        <v>0</v>
      </c>
      <c r="J27" s="111">
        <f t="shared" si="4"/>
        <v>0</v>
      </c>
      <c r="K27" s="101">
        <f t="shared" si="4"/>
        <v>0</v>
      </c>
      <c r="L27" s="82">
        <f t="shared" si="5"/>
        <v>1103.6899999999998</v>
      </c>
      <c r="M27" s="6">
        <f t="shared" si="5"/>
        <v>361299.57354978833</v>
      </c>
      <c r="N27" s="48">
        <f t="shared" si="6"/>
        <v>327.35602709980918</v>
      </c>
      <c r="O27" s="48">
        <v>0</v>
      </c>
      <c r="P27" s="48">
        <f t="shared" si="7"/>
        <v>0</v>
      </c>
      <c r="Q27" s="30">
        <v>600.16</v>
      </c>
      <c r="R27" s="34">
        <f t="shared" si="8"/>
        <v>196465.99322422146</v>
      </c>
      <c r="S27" s="112">
        <f t="shared" si="9"/>
        <v>600.16</v>
      </c>
      <c r="T27" s="113">
        <f t="shared" si="9"/>
        <v>196465.99322422146</v>
      </c>
      <c r="U27" s="30">
        <v>398.61</v>
      </c>
      <c r="V27" s="6">
        <v>247209.3</v>
      </c>
      <c r="W27" s="30">
        <f t="shared" si="0"/>
        <v>104.91999999999985</v>
      </c>
      <c r="X27" s="6">
        <f t="shared" si="10"/>
        <v>34346.19436331193</v>
      </c>
      <c r="Y27" s="4">
        <f t="shared" si="1"/>
        <v>116721.91403774504</v>
      </c>
      <c r="Z27" s="104">
        <f t="shared" si="2"/>
        <v>0.47215826442510472</v>
      </c>
      <c r="AA27" s="104">
        <v>0.25833400110195726</v>
      </c>
      <c r="AB27" s="114">
        <f t="shared" si="3"/>
        <v>0.21382426332314747</v>
      </c>
    </row>
    <row r="28" spans="1:28">
      <c r="A28" s="98" t="s">
        <v>193</v>
      </c>
      <c r="B28" s="99">
        <v>0.86</v>
      </c>
      <c r="C28" s="100">
        <v>2795.9511936697568</v>
      </c>
      <c r="D28" s="99">
        <v>0</v>
      </c>
      <c r="E28" s="100">
        <v>0</v>
      </c>
      <c r="F28" s="110">
        <v>0</v>
      </c>
      <c r="G28" s="100">
        <v>0</v>
      </c>
      <c r="H28" s="30">
        <v>0</v>
      </c>
      <c r="I28" s="34">
        <v>0</v>
      </c>
      <c r="J28" s="111">
        <f t="shared" si="4"/>
        <v>0</v>
      </c>
      <c r="K28" s="101">
        <f t="shared" si="4"/>
        <v>0</v>
      </c>
      <c r="L28" s="82">
        <f t="shared" si="5"/>
        <v>0.86</v>
      </c>
      <c r="M28" s="6">
        <f t="shared" si="5"/>
        <v>2795.9511936697568</v>
      </c>
      <c r="N28" s="48">
        <f t="shared" si="6"/>
        <v>3251.10603915088</v>
      </c>
      <c r="O28" s="48">
        <v>0</v>
      </c>
      <c r="P28" s="48">
        <f t="shared" si="7"/>
        <v>0</v>
      </c>
      <c r="Q28" s="30">
        <v>0</v>
      </c>
      <c r="R28" s="34">
        <f t="shared" si="8"/>
        <v>0</v>
      </c>
      <c r="S28" s="112">
        <f t="shared" si="9"/>
        <v>0</v>
      </c>
      <c r="T28" s="113">
        <f t="shared" si="9"/>
        <v>0</v>
      </c>
      <c r="U28" s="30">
        <v>0.86</v>
      </c>
      <c r="V28" s="6">
        <v>3870</v>
      </c>
      <c r="W28" s="30">
        <f t="shared" si="0"/>
        <v>0</v>
      </c>
      <c r="X28" s="6">
        <f t="shared" si="10"/>
        <v>0</v>
      </c>
      <c r="Y28" s="4">
        <f t="shared" si="1"/>
        <v>1074.0488063302432</v>
      </c>
      <c r="Z28" s="104">
        <f t="shared" si="2"/>
        <v>0.27753199129980444</v>
      </c>
      <c r="AA28" s="104">
        <v>0</v>
      </c>
      <c r="AB28" s="114">
        <f t="shared" si="3"/>
        <v>0.27753199129980444</v>
      </c>
    </row>
    <row r="29" spans="1:28">
      <c r="A29" s="98" t="s">
        <v>194</v>
      </c>
      <c r="B29" s="99">
        <v>0</v>
      </c>
      <c r="C29" s="100">
        <v>0</v>
      </c>
      <c r="D29" s="99">
        <v>0</v>
      </c>
      <c r="E29" s="100">
        <v>0</v>
      </c>
      <c r="F29" s="110">
        <v>0</v>
      </c>
      <c r="G29" s="100">
        <v>0</v>
      </c>
      <c r="H29" s="30">
        <v>2703.2699999999995</v>
      </c>
      <c r="I29" s="34">
        <v>59760.030271562282</v>
      </c>
      <c r="J29" s="111">
        <f t="shared" si="4"/>
        <v>2703.2699999999995</v>
      </c>
      <c r="K29" s="101">
        <f t="shared" si="4"/>
        <v>59760.030271562282</v>
      </c>
      <c r="L29" s="82">
        <f t="shared" si="5"/>
        <v>2703.2699999999995</v>
      </c>
      <c r="M29" s="6">
        <f t="shared" si="5"/>
        <v>59760.030271562282</v>
      </c>
      <c r="N29" s="48">
        <f t="shared" si="6"/>
        <v>22.106571031218596</v>
      </c>
      <c r="O29" s="48">
        <v>0</v>
      </c>
      <c r="P29" s="48">
        <f t="shared" si="7"/>
        <v>0</v>
      </c>
      <c r="Q29" s="30">
        <v>0</v>
      </c>
      <c r="R29" s="34">
        <f t="shared" si="8"/>
        <v>0</v>
      </c>
      <c r="S29" s="112">
        <f t="shared" si="9"/>
        <v>0</v>
      </c>
      <c r="T29" s="113">
        <f t="shared" si="9"/>
        <v>0</v>
      </c>
      <c r="U29" s="30">
        <v>0</v>
      </c>
      <c r="V29" s="6">
        <v>0</v>
      </c>
      <c r="W29" s="30">
        <f t="shared" si="0"/>
        <v>2703.2699999999995</v>
      </c>
      <c r="X29" s="6">
        <f t="shared" si="10"/>
        <v>59760.030271562282</v>
      </c>
      <c r="Y29" s="4">
        <f t="shared" si="1"/>
        <v>0</v>
      </c>
      <c r="Z29" s="104">
        <f t="shared" si="2"/>
        <v>0</v>
      </c>
      <c r="AA29" s="104">
        <v>0</v>
      </c>
      <c r="AB29" s="114">
        <f t="shared" si="3"/>
        <v>0</v>
      </c>
    </row>
    <row r="30" spans="1:28">
      <c r="A30" s="98" t="s">
        <v>195</v>
      </c>
      <c r="B30" s="99">
        <v>0.5</v>
      </c>
      <c r="C30" s="100">
        <v>1786.1821885294046</v>
      </c>
      <c r="D30" s="99">
        <v>0</v>
      </c>
      <c r="E30" s="100">
        <v>0</v>
      </c>
      <c r="F30" s="110">
        <v>0</v>
      </c>
      <c r="G30" s="100">
        <v>0</v>
      </c>
      <c r="H30" s="30">
        <v>0</v>
      </c>
      <c r="I30" s="34">
        <v>0</v>
      </c>
      <c r="J30" s="111">
        <f t="shared" si="4"/>
        <v>0</v>
      </c>
      <c r="K30" s="101">
        <f t="shared" si="4"/>
        <v>0</v>
      </c>
      <c r="L30" s="82">
        <f t="shared" si="5"/>
        <v>0.5</v>
      </c>
      <c r="M30" s="6">
        <f t="shared" si="5"/>
        <v>1786.1821885294046</v>
      </c>
      <c r="N30" s="48">
        <f t="shared" si="6"/>
        <v>3572.3643770588092</v>
      </c>
      <c r="O30" s="48">
        <v>0</v>
      </c>
      <c r="P30" s="48">
        <f t="shared" si="7"/>
        <v>0</v>
      </c>
      <c r="Q30" s="30">
        <v>0</v>
      </c>
      <c r="R30" s="34">
        <f t="shared" si="8"/>
        <v>0</v>
      </c>
      <c r="S30" s="112">
        <f t="shared" si="9"/>
        <v>0</v>
      </c>
      <c r="T30" s="113">
        <f t="shared" si="9"/>
        <v>0</v>
      </c>
      <c r="U30" s="30">
        <v>0.5</v>
      </c>
      <c r="V30" s="6">
        <v>2500</v>
      </c>
      <c r="W30" s="30">
        <f t="shared" si="0"/>
        <v>0</v>
      </c>
      <c r="X30" s="6">
        <f t="shared" si="10"/>
        <v>0</v>
      </c>
      <c r="Y30" s="4">
        <f t="shared" si="1"/>
        <v>713.81781147059542</v>
      </c>
      <c r="Z30" s="104">
        <f t="shared" si="2"/>
        <v>0.28552712458823815</v>
      </c>
      <c r="AA30" s="104">
        <v>0</v>
      </c>
      <c r="AB30" s="114">
        <f t="shared" si="3"/>
        <v>0.28552712458823815</v>
      </c>
    </row>
    <row r="31" spans="1:28">
      <c r="A31" s="98" t="s">
        <v>196</v>
      </c>
      <c r="B31" s="99">
        <v>5.8</v>
      </c>
      <c r="C31" s="100">
        <v>2317.0897581898289</v>
      </c>
      <c r="D31" s="99">
        <v>0</v>
      </c>
      <c r="E31" s="100">
        <v>0</v>
      </c>
      <c r="F31" s="110">
        <v>0</v>
      </c>
      <c r="G31" s="100">
        <v>0</v>
      </c>
      <c r="H31" s="30">
        <v>0</v>
      </c>
      <c r="I31" s="34">
        <v>0</v>
      </c>
      <c r="J31" s="111">
        <f t="shared" si="4"/>
        <v>0</v>
      </c>
      <c r="K31" s="101">
        <f t="shared" si="4"/>
        <v>0</v>
      </c>
      <c r="L31" s="82">
        <f t="shared" si="5"/>
        <v>5.8</v>
      </c>
      <c r="M31" s="6">
        <f t="shared" si="5"/>
        <v>2317.0897581898289</v>
      </c>
      <c r="N31" s="48">
        <f t="shared" si="6"/>
        <v>399.49823417066017</v>
      </c>
      <c r="O31" s="48">
        <v>0</v>
      </c>
      <c r="P31" s="48">
        <f t="shared" si="7"/>
        <v>0</v>
      </c>
      <c r="Q31" s="30">
        <v>0</v>
      </c>
      <c r="R31" s="34">
        <f t="shared" si="8"/>
        <v>0</v>
      </c>
      <c r="S31" s="112">
        <f t="shared" si="9"/>
        <v>0</v>
      </c>
      <c r="T31" s="113">
        <f t="shared" si="9"/>
        <v>0</v>
      </c>
      <c r="U31" s="30">
        <v>0.68</v>
      </c>
      <c r="V31" s="6">
        <v>374</v>
      </c>
      <c r="W31" s="30">
        <f t="shared" si="0"/>
        <v>5.12</v>
      </c>
      <c r="X31" s="6">
        <f t="shared" si="10"/>
        <v>2045.4309589537802</v>
      </c>
      <c r="Y31" s="4">
        <f t="shared" si="1"/>
        <v>102.34120076395129</v>
      </c>
      <c r="Z31" s="104">
        <f t="shared" si="2"/>
        <v>0.27363957423516388</v>
      </c>
      <c r="AA31" s="104">
        <v>0</v>
      </c>
      <c r="AB31" s="114">
        <f t="shared" si="3"/>
        <v>0.27363957423516388</v>
      </c>
    </row>
    <row r="32" spans="1:28">
      <c r="A32" s="98" t="s">
        <v>197</v>
      </c>
      <c r="B32" s="99">
        <v>2.1800000000000002</v>
      </c>
      <c r="C32" s="100">
        <v>8723.2412980039335</v>
      </c>
      <c r="D32" s="99">
        <v>0</v>
      </c>
      <c r="E32" s="100">
        <v>0</v>
      </c>
      <c r="F32" s="110">
        <v>0</v>
      </c>
      <c r="G32" s="100">
        <v>0</v>
      </c>
      <c r="H32" s="30">
        <v>0</v>
      </c>
      <c r="I32" s="34">
        <v>0</v>
      </c>
      <c r="J32" s="111">
        <f t="shared" si="4"/>
        <v>0</v>
      </c>
      <c r="K32" s="101">
        <f t="shared" si="4"/>
        <v>0</v>
      </c>
      <c r="L32" s="82">
        <f t="shared" si="5"/>
        <v>2.1800000000000002</v>
      </c>
      <c r="M32" s="6">
        <f t="shared" si="5"/>
        <v>8723.2412980039335</v>
      </c>
      <c r="N32" s="48">
        <f t="shared" si="6"/>
        <v>4001.486833946758</v>
      </c>
      <c r="O32" s="48">
        <v>0</v>
      </c>
      <c r="P32" s="48">
        <f t="shared" si="7"/>
        <v>0</v>
      </c>
      <c r="Q32" s="30">
        <v>0</v>
      </c>
      <c r="R32" s="34">
        <f t="shared" si="8"/>
        <v>0</v>
      </c>
      <c r="S32" s="112">
        <f t="shared" si="9"/>
        <v>0</v>
      </c>
      <c r="T32" s="113">
        <f t="shared" si="9"/>
        <v>0</v>
      </c>
      <c r="U32" s="30">
        <v>2.1800000000000002</v>
      </c>
      <c r="V32" s="6">
        <v>12208</v>
      </c>
      <c r="W32" s="30">
        <f t="shared" si="0"/>
        <v>0</v>
      </c>
      <c r="X32" s="6">
        <f t="shared" si="10"/>
        <v>0</v>
      </c>
      <c r="Y32" s="4">
        <f t="shared" si="1"/>
        <v>3484.7587019960665</v>
      </c>
      <c r="Z32" s="104">
        <f t="shared" si="2"/>
        <v>0.28544877965236454</v>
      </c>
      <c r="AA32" s="104">
        <v>0</v>
      </c>
      <c r="AB32" s="114">
        <f t="shared" si="3"/>
        <v>0.28544877965236454</v>
      </c>
    </row>
    <row r="33" spans="1:28">
      <c r="A33" s="98" t="s">
        <v>198</v>
      </c>
      <c r="B33" s="99">
        <v>18.72</v>
      </c>
      <c r="C33" s="100">
        <v>81960.711864406781</v>
      </c>
      <c r="D33" s="99">
        <v>0</v>
      </c>
      <c r="E33" s="100">
        <v>0</v>
      </c>
      <c r="F33" s="110">
        <v>0</v>
      </c>
      <c r="G33" s="100">
        <v>0</v>
      </c>
      <c r="H33" s="30">
        <v>0</v>
      </c>
      <c r="I33" s="34">
        <v>0</v>
      </c>
      <c r="J33" s="111">
        <f t="shared" si="4"/>
        <v>0</v>
      </c>
      <c r="K33" s="101">
        <f t="shared" si="4"/>
        <v>0</v>
      </c>
      <c r="L33" s="82">
        <f t="shared" si="5"/>
        <v>18.72</v>
      </c>
      <c r="M33" s="6">
        <f t="shared" si="5"/>
        <v>81960.711864406781</v>
      </c>
      <c r="N33" s="48">
        <f t="shared" si="6"/>
        <v>4378.2431551499349</v>
      </c>
      <c r="O33" s="48">
        <v>0</v>
      </c>
      <c r="P33" s="48">
        <f t="shared" si="7"/>
        <v>0</v>
      </c>
      <c r="Q33" s="30">
        <v>15.08</v>
      </c>
      <c r="R33" s="34">
        <f t="shared" si="8"/>
        <v>66023.906779661018</v>
      </c>
      <c r="S33" s="112">
        <f t="shared" si="9"/>
        <v>15.08</v>
      </c>
      <c r="T33" s="113">
        <f t="shared" si="9"/>
        <v>66023.906779661018</v>
      </c>
      <c r="U33" s="30">
        <v>0.12</v>
      </c>
      <c r="V33" s="6">
        <v>720</v>
      </c>
      <c r="W33" s="30">
        <f t="shared" si="0"/>
        <v>3.5199999999999978</v>
      </c>
      <c r="X33" s="6">
        <f t="shared" si="10"/>
        <v>15411.415906127761</v>
      </c>
      <c r="Y33" s="4">
        <f t="shared" si="1"/>
        <v>194.61082138199708</v>
      </c>
      <c r="Z33" s="104">
        <f t="shared" si="2"/>
        <v>0.27029280747499596</v>
      </c>
      <c r="AA33" s="104">
        <v>0</v>
      </c>
      <c r="AB33" s="114">
        <f t="shared" si="3"/>
        <v>0.27029280747499596</v>
      </c>
    </row>
    <row r="34" spans="1:28">
      <c r="A34" s="98" t="s">
        <v>199</v>
      </c>
      <c r="B34" s="99">
        <v>6.49</v>
      </c>
      <c r="C34" s="100">
        <v>31349.297964595946</v>
      </c>
      <c r="D34" s="99">
        <v>0</v>
      </c>
      <c r="E34" s="100">
        <v>0</v>
      </c>
      <c r="F34" s="110">
        <v>0</v>
      </c>
      <c r="G34" s="100">
        <v>0</v>
      </c>
      <c r="H34" s="30">
        <v>0</v>
      </c>
      <c r="I34" s="34">
        <v>0</v>
      </c>
      <c r="J34" s="111">
        <f t="shared" si="4"/>
        <v>0</v>
      </c>
      <c r="K34" s="101">
        <f t="shared" si="4"/>
        <v>0</v>
      </c>
      <c r="L34" s="82">
        <f t="shared" si="5"/>
        <v>6.49</v>
      </c>
      <c r="M34" s="6">
        <f t="shared" si="5"/>
        <v>31349.297964595946</v>
      </c>
      <c r="N34" s="48">
        <f t="shared" si="6"/>
        <v>4830.4003027112394</v>
      </c>
      <c r="O34" s="48">
        <v>0</v>
      </c>
      <c r="P34" s="48">
        <f t="shared" si="7"/>
        <v>0</v>
      </c>
      <c r="Q34" s="30">
        <v>0</v>
      </c>
      <c r="R34" s="34">
        <f t="shared" si="8"/>
        <v>0</v>
      </c>
      <c r="S34" s="112">
        <f t="shared" si="9"/>
        <v>0</v>
      </c>
      <c r="T34" s="113">
        <f t="shared" si="9"/>
        <v>0</v>
      </c>
      <c r="U34" s="30">
        <v>3.62</v>
      </c>
      <c r="V34" s="6">
        <v>23892</v>
      </c>
      <c r="W34" s="30">
        <f t="shared" si="0"/>
        <v>2.87</v>
      </c>
      <c r="X34" s="6">
        <f t="shared" si="10"/>
        <v>13863.248868781258</v>
      </c>
      <c r="Y34" s="4">
        <f t="shared" si="1"/>
        <v>6405.9509041853125</v>
      </c>
      <c r="Z34" s="104">
        <f t="shared" si="2"/>
        <v>0.26812116625587279</v>
      </c>
      <c r="AA34" s="104">
        <v>0.26812116625587257</v>
      </c>
      <c r="AB34" s="114">
        <f t="shared" si="3"/>
        <v>0</v>
      </c>
    </row>
    <row r="35" spans="1:28">
      <c r="A35" s="98" t="s">
        <v>200</v>
      </c>
      <c r="B35" s="99">
        <v>64.949999999999989</v>
      </c>
      <c r="C35" s="100">
        <v>32475.043671233325</v>
      </c>
      <c r="D35" s="99">
        <v>0</v>
      </c>
      <c r="E35" s="100">
        <v>0</v>
      </c>
      <c r="F35" s="110">
        <v>0</v>
      </c>
      <c r="G35" s="100">
        <v>0</v>
      </c>
      <c r="H35" s="30">
        <v>22.77</v>
      </c>
      <c r="I35" s="34">
        <v>11336.113425500633</v>
      </c>
      <c r="J35" s="111">
        <f t="shared" si="4"/>
        <v>22.77</v>
      </c>
      <c r="K35" s="101">
        <f t="shared" si="4"/>
        <v>11336.113425500633</v>
      </c>
      <c r="L35" s="82">
        <f t="shared" si="5"/>
        <v>87.719999999999985</v>
      </c>
      <c r="M35" s="6">
        <f t="shared" si="5"/>
        <v>43811.157096733958</v>
      </c>
      <c r="N35" s="48">
        <f t="shared" si="6"/>
        <v>499.44319535720433</v>
      </c>
      <c r="O35" s="48">
        <v>0</v>
      </c>
      <c r="P35" s="48">
        <f t="shared" si="7"/>
        <v>0</v>
      </c>
      <c r="Q35" s="30">
        <v>0</v>
      </c>
      <c r="R35" s="34">
        <f t="shared" si="8"/>
        <v>0</v>
      </c>
      <c r="S35" s="112">
        <f t="shared" si="9"/>
        <v>0</v>
      </c>
      <c r="T35" s="113">
        <f t="shared" si="9"/>
        <v>0</v>
      </c>
      <c r="U35" s="30">
        <v>61.929999999999993</v>
      </c>
      <c r="V35" s="6">
        <v>43351</v>
      </c>
      <c r="W35" s="30">
        <f t="shared" si="0"/>
        <v>25.789999999999992</v>
      </c>
      <c r="X35" s="6">
        <f t="shared" si="10"/>
        <v>12880.640008262295</v>
      </c>
      <c r="Y35" s="4">
        <f t="shared" si="1"/>
        <v>12420.482911528336</v>
      </c>
      <c r="Z35" s="104">
        <f t="shared" si="2"/>
        <v>0.28650972091827953</v>
      </c>
      <c r="AA35" s="104">
        <v>0.28571332516807801</v>
      </c>
      <c r="AB35" s="114">
        <f t="shared" si="3"/>
        <v>7.9639575020151732E-4</v>
      </c>
    </row>
    <row r="36" spans="1:28">
      <c r="A36" s="98" t="s">
        <v>201</v>
      </c>
      <c r="B36" s="99">
        <v>0.78</v>
      </c>
      <c r="C36" s="100">
        <v>3852.9683332447803</v>
      </c>
      <c r="D36" s="99">
        <v>0</v>
      </c>
      <c r="E36" s="100">
        <v>0</v>
      </c>
      <c r="F36" s="110">
        <v>0</v>
      </c>
      <c r="G36" s="100">
        <v>0</v>
      </c>
      <c r="H36" s="30">
        <v>0</v>
      </c>
      <c r="I36" s="34">
        <v>0</v>
      </c>
      <c r="J36" s="111">
        <f t="shared" si="4"/>
        <v>0</v>
      </c>
      <c r="K36" s="101">
        <f t="shared" si="4"/>
        <v>0</v>
      </c>
      <c r="L36" s="82">
        <f t="shared" si="5"/>
        <v>0.78</v>
      </c>
      <c r="M36" s="6">
        <f t="shared" si="5"/>
        <v>3852.9683332447803</v>
      </c>
      <c r="N36" s="48">
        <f t="shared" si="6"/>
        <v>4939.7029913394617</v>
      </c>
      <c r="O36" s="48">
        <v>0</v>
      </c>
      <c r="P36" s="48">
        <f t="shared" si="7"/>
        <v>0</v>
      </c>
      <c r="Q36" s="30">
        <v>0</v>
      </c>
      <c r="R36" s="34">
        <f t="shared" si="8"/>
        <v>0</v>
      </c>
      <c r="S36" s="112">
        <f t="shared" si="9"/>
        <v>0</v>
      </c>
      <c r="T36" s="113">
        <f t="shared" si="9"/>
        <v>0</v>
      </c>
      <c r="U36" s="30">
        <v>0.78</v>
      </c>
      <c r="V36" s="6">
        <v>5460</v>
      </c>
      <c r="W36" s="30">
        <f t="shared" si="0"/>
        <v>0</v>
      </c>
      <c r="X36" s="6">
        <f t="shared" si="10"/>
        <v>0</v>
      </c>
      <c r="Y36" s="4">
        <f t="shared" si="1"/>
        <v>1607.0316667552197</v>
      </c>
      <c r="Z36" s="104">
        <f t="shared" si="2"/>
        <v>0.29432814409436259</v>
      </c>
      <c r="AA36" s="104">
        <v>0</v>
      </c>
      <c r="AB36" s="114">
        <f t="shared" si="3"/>
        <v>0.29432814409436259</v>
      </c>
    </row>
    <row r="37" spans="1:28">
      <c r="A37" s="98" t="s">
        <v>202</v>
      </c>
      <c r="B37" s="99">
        <v>20.369999999999997</v>
      </c>
      <c r="C37" s="100">
        <v>11644.81617736857</v>
      </c>
      <c r="D37" s="99">
        <v>0</v>
      </c>
      <c r="E37" s="100">
        <v>0</v>
      </c>
      <c r="F37" s="110">
        <v>0</v>
      </c>
      <c r="G37" s="100">
        <v>0</v>
      </c>
      <c r="H37" s="30">
        <v>0</v>
      </c>
      <c r="I37" s="34">
        <v>0</v>
      </c>
      <c r="J37" s="111">
        <f t="shared" si="4"/>
        <v>0</v>
      </c>
      <c r="K37" s="101">
        <f t="shared" si="4"/>
        <v>0</v>
      </c>
      <c r="L37" s="82">
        <f t="shared" si="5"/>
        <v>20.369999999999997</v>
      </c>
      <c r="M37" s="6">
        <f t="shared" si="5"/>
        <v>11644.81617736857</v>
      </c>
      <c r="N37" s="48">
        <f t="shared" si="6"/>
        <v>571.66500625275262</v>
      </c>
      <c r="O37" s="48">
        <v>0</v>
      </c>
      <c r="P37" s="48">
        <f t="shared" si="7"/>
        <v>0</v>
      </c>
      <c r="Q37" s="30">
        <v>0</v>
      </c>
      <c r="R37" s="34">
        <f t="shared" si="8"/>
        <v>0</v>
      </c>
      <c r="S37" s="112">
        <f t="shared" si="9"/>
        <v>0</v>
      </c>
      <c r="T37" s="113">
        <f t="shared" si="9"/>
        <v>0</v>
      </c>
      <c r="U37" s="30">
        <v>0</v>
      </c>
      <c r="V37" s="6">
        <v>0</v>
      </c>
      <c r="W37" s="30">
        <f t="shared" si="0"/>
        <v>20.369999999999997</v>
      </c>
      <c r="X37" s="6">
        <f t="shared" si="10"/>
        <v>11644.81617736857</v>
      </c>
      <c r="Y37" s="4">
        <f t="shared" si="1"/>
        <v>0</v>
      </c>
      <c r="Z37" s="104">
        <f t="shared" si="2"/>
        <v>0</v>
      </c>
      <c r="AA37" s="104">
        <v>0.28541874218405922</v>
      </c>
      <c r="AB37" s="114">
        <f t="shared" si="3"/>
        <v>-0.28541874218405922</v>
      </c>
    </row>
    <row r="38" spans="1:28">
      <c r="A38" s="98" t="s">
        <v>203</v>
      </c>
      <c r="B38" s="99">
        <v>206</v>
      </c>
      <c r="C38" s="100">
        <v>133060.12963229377</v>
      </c>
      <c r="D38" s="99">
        <v>0</v>
      </c>
      <c r="E38" s="100">
        <v>0</v>
      </c>
      <c r="F38" s="110">
        <v>0</v>
      </c>
      <c r="G38" s="100">
        <v>0</v>
      </c>
      <c r="H38" s="30">
        <v>0</v>
      </c>
      <c r="I38" s="34">
        <v>0</v>
      </c>
      <c r="J38" s="111">
        <f t="shared" si="4"/>
        <v>0</v>
      </c>
      <c r="K38" s="101">
        <f t="shared" si="4"/>
        <v>0</v>
      </c>
      <c r="L38" s="82">
        <f t="shared" si="5"/>
        <v>206</v>
      </c>
      <c r="M38" s="6">
        <f t="shared" si="5"/>
        <v>133060.12963229377</v>
      </c>
      <c r="N38" s="48">
        <f t="shared" si="6"/>
        <v>645.9229593800668</v>
      </c>
      <c r="O38" s="48">
        <v>0</v>
      </c>
      <c r="P38" s="48">
        <f t="shared" si="7"/>
        <v>0</v>
      </c>
      <c r="Q38" s="30">
        <v>174.23</v>
      </c>
      <c r="R38" s="34">
        <f t="shared" si="8"/>
        <v>112539.15721278902</v>
      </c>
      <c r="S38" s="112">
        <f t="shared" si="9"/>
        <v>174.23</v>
      </c>
      <c r="T38" s="113">
        <f t="shared" si="9"/>
        <v>112539.15721278902</v>
      </c>
      <c r="U38" s="30">
        <v>10.33</v>
      </c>
      <c r="V38" s="6">
        <v>9297</v>
      </c>
      <c r="W38" s="30">
        <f t="shared" si="0"/>
        <v>21.439999999999998</v>
      </c>
      <c r="X38" s="6">
        <f t="shared" si="10"/>
        <v>13848.58824910863</v>
      </c>
      <c r="Y38" s="4">
        <f t="shared" si="1"/>
        <v>2624.6158296038921</v>
      </c>
      <c r="Z38" s="104">
        <f t="shared" si="2"/>
        <v>0.28230782291103496</v>
      </c>
      <c r="AA38" s="104">
        <v>0</v>
      </c>
      <c r="AB38" s="114">
        <f t="shared" si="3"/>
        <v>0.28230782291103496</v>
      </c>
    </row>
    <row r="39" spans="1:28">
      <c r="B39" s="99"/>
      <c r="C39" s="100"/>
      <c r="D39" s="99"/>
      <c r="E39" s="100"/>
      <c r="F39" s="100"/>
      <c r="G39" s="100"/>
      <c r="H39" s="34"/>
      <c r="I39" s="34"/>
      <c r="J39" s="100"/>
      <c r="K39" s="100"/>
      <c r="L39" s="99"/>
      <c r="M39" s="100"/>
      <c r="N39" s="105"/>
      <c r="O39" s="105"/>
      <c r="P39" s="105"/>
      <c r="Q39" s="48"/>
      <c r="R39" s="48"/>
      <c r="S39" s="105"/>
      <c r="T39" s="105"/>
      <c r="U39" s="30"/>
      <c r="V39" s="34"/>
      <c r="W39" s="99"/>
      <c r="X39" s="100"/>
    </row>
    <row r="40" spans="1:28" ht="20.7" customHeight="1" thickBot="1">
      <c r="A40" s="115" t="s">
        <v>38</v>
      </c>
      <c r="B40" s="116">
        <f t="shared" ref="B40:M40" si="11">SUM(B10:B38)</f>
        <v>5816.61</v>
      </c>
      <c r="C40" s="117">
        <f t="shared" si="11"/>
        <v>2426140.2081927308</v>
      </c>
      <c r="D40" s="116">
        <f t="shared" si="11"/>
        <v>0</v>
      </c>
      <c r="E40" s="117">
        <f t="shared" si="11"/>
        <v>0</v>
      </c>
      <c r="F40" s="116">
        <f t="shared" si="11"/>
        <v>0</v>
      </c>
      <c r="G40" s="117">
        <f t="shared" si="11"/>
        <v>0</v>
      </c>
      <c r="H40" s="85">
        <f t="shared" si="11"/>
        <v>2726.0399999999995</v>
      </c>
      <c r="I40" s="86">
        <f t="shared" si="11"/>
        <v>71096.143697062915</v>
      </c>
      <c r="J40" s="116">
        <f t="shared" si="11"/>
        <v>2726.0399999999995</v>
      </c>
      <c r="K40" s="117">
        <f t="shared" si="11"/>
        <v>71096.143697062915</v>
      </c>
      <c r="L40" s="116">
        <f t="shared" si="11"/>
        <v>8542.65</v>
      </c>
      <c r="M40" s="117">
        <f t="shared" si="11"/>
        <v>2497236.3518897938</v>
      </c>
      <c r="N40" s="116"/>
      <c r="O40" s="116">
        <f t="shared" ref="O40:V40" si="12">SUM(O10:O38)</f>
        <v>0</v>
      </c>
      <c r="P40" s="117">
        <f t="shared" si="12"/>
        <v>0</v>
      </c>
      <c r="Q40" s="85">
        <f t="shared" si="12"/>
        <v>2633.3199999999997</v>
      </c>
      <c r="R40" s="86">
        <f t="shared" si="12"/>
        <v>1437700.3054658747</v>
      </c>
      <c r="S40" s="116">
        <f t="shared" si="12"/>
        <v>2633.3199999999997</v>
      </c>
      <c r="T40" s="117">
        <f t="shared" si="12"/>
        <v>1437700.3054658747</v>
      </c>
      <c r="U40" s="85">
        <f t="shared" si="12"/>
        <v>1631.8049999999978</v>
      </c>
      <c r="V40" s="86">
        <f t="shared" si="12"/>
        <v>750427.1</v>
      </c>
      <c r="W40" s="116">
        <f>SUM(W10:W38)</f>
        <v>4277.5250000000005</v>
      </c>
      <c r="X40" s="117">
        <f>SUM(X10:X38)</f>
        <v>507971.93749466899</v>
      </c>
      <c r="Y40" s="117">
        <f>SUM(Y10:Y39)</f>
        <v>198862.9910707502</v>
      </c>
      <c r="Z40" s="118">
        <f>IF(Y40&gt;0,(Y40/V40),0)</f>
        <v>0.26499974623884215</v>
      </c>
      <c r="AA40" s="118">
        <v>0.13016965318786375</v>
      </c>
      <c r="AB40" s="119">
        <f t="shared" si="3"/>
        <v>0.1348300930509784</v>
      </c>
    </row>
    <row r="41" spans="1:28" ht="14.4" thickTop="1">
      <c r="B41" s="99"/>
      <c r="C41" s="100"/>
      <c r="D41" s="99"/>
      <c r="E41" s="100"/>
      <c r="F41" s="100"/>
      <c r="G41" s="100"/>
      <c r="H41" s="34"/>
      <c r="I41" s="34"/>
      <c r="J41" s="100"/>
      <c r="K41" s="100"/>
      <c r="L41" s="99"/>
      <c r="M41" s="100"/>
      <c r="N41" s="105"/>
      <c r="O41" s="105"/>
      <c r="P41" s="105"/>
      <c r="Q41" s="48"/>
      <c r="R41" s="48"/>
      <c r="S41" s="105"/>
      <c r="T41" s="105"/>
      <c r="U41" s="30"/>
      <c r="V41" s="34"/>
      <c r="W41" s="99"/>
      <c r="X41" s="100"/>
    </row>
    <row r="42" spans="1:28">
      <c r="C42" s="120"/>
      <c r="N42" s="103"/>
      <c r="O42" s="103"/>
      <c r="P42" s="103"/>
      <c r="Q42" s="4"/>
      <c r="R42" s="4"/>
      <c r="S42" s="103"/>
      <c r="T42" s="103"/>
      <c r="W42" s="121"/>
    </row>
    <row r="43" spans="1:28">
      <c r="A43" s="122"/>
      <c r="B43" s="122"/>
      <c r="C43" s="123"/>
      <c r="D43" s="123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</row>
    <row r="44" spans="1:28">
      <c r="C44" s="120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</row>
    <row r="46" spans="1:28">
      <c r="A46" s="98" t="s">
        <v>38</v>
      </c>
    </row>
  </sheetData>
  <mergeCells count="19">
    <mergeCell ref="N44:X44"/>
    <mergeCell ref="U7:V7"/>
    <mergeCell ref="W7:X7"/>
    <mergeCell ref="Z7:Z8"/>
    <mergeCell ref="AA7:AA8"/>
    <mergeCell ref="AB7:AB8"/>
    <mergeCell ref="A43:B43"/>
    <mergeCell ref="C43:D43"/>
    <mergeCell ref="N43:X43"/>
    <mergeCell ref="A5:Y5"/>
    <mergeCell ref="B7:C7"/>
    <mergeCell ref="D7:E7"/>
    <mergeCell ref="F7:G7"/>
    <mergeCell ref="H7:I7"/>
    <mergeCell ref="J7:K7"/>
    <mergeCell ref="L7:M7"/>
    <mergeCell ref="O7:P7"/>
    <mergeCell ref="Q7:R7"/>
    <mergeCell ref="S7:T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9D14-4A18-40E3-9A45-043AF95B5192}">
  <dimension ref="A1:AC90"/>
  <sheetViews>
    <sheetView workbookViewId="0">
      <selection sqref="A1:XFD1048576"/>
    </sheetView>
  </sheetViews>
  <sheetFormatPr defaultColWidth="8.6640625" defaultRowHeight="13.8"/>
  <cols>
    <col min="1" max="1" width="10.88671875" style="1" customWidth="1"/>
    <col min="2" max="2" width="14.5546875" style="63" customWidth="1"/>
    <col min="3" max="3" width="13.6640625" style="124" customWidth="1"/>
    <col min="4" max="4" width="11.33203125" style="76" customWidth="1"/>
    <col min="5" max="5" width="10.5546875" style="124" customWidth="1"/>
    <col min="6" max="7" width="13" style="124" hidden="1" customWidth="1"/>
    <col min="8" max="9" width="13" style="124" customWidth="1"/>
    <col min="10" max="10" width="14.33203125" style="63" hidden="1" customWidth="1"/>
    <col min="11" max="11" width="11.33203125" style="124" hidden="1" customWidth="1"/>
    <col min="12" max="12" width="13.5546875" style="76" customWidth="1"/>
    <col min="13" max="13" width="13.6640625" style="77" customWidth="1"/>
    <col min="14" max="14" width="10.33203125" style="1" customWidth="1"/>
    <col min="15" max="16" width="10.33203125" style="1" hidden="1" customWidth="1"/>
    <col min="17" max="17" width="12.6640625" style="1" customWidth="1"/>
    <col min="18" max="18" width="13.44140625" style="1" customWidth="1"/>
    <col min="19" max="19" width="12.6640625" style="76" hidden="1" customWidth="1"/>
    <col min="20" max="20" width="13.44140625" style="1" hidden="1" customWidth="1"/>
    <col min="21" max="21" width="12.6640625" style="76" customWidth="1"/>
    <col min="22" max="22" width="11.33203125" style="124" customWidth="1"/>
    <col min="23" max="23" width="12.6640625" style="76" customWidth="1"/>
    <col min="24" max="24" width="15.33203125" style="124" customWidth="1"/>
    <col min="25" max="25" width="10.33203125" style="77" customWidth="1"/>
    <col min="26" max="26" width="8" style="1" bestFit="1" customWidth="1"/>
    <col min="27" max="27" width="8.6640625" style="1"/>
    <col min="28" max="28" width="13.44140625" style="1" bestFit="1" customWidth="1"/>
    <col min="29" max="29" width="12.33203125" style="1" bestFit="1" customWidth="1"/>
    <col min="30" max="16384" width="8.6640625" style="1"/>
  </cols>
  <sheetData>
    <row r="1" spans="1:28">
      <c r="A1" s="1" t="str">
        <f>+[1]Dia!A1</f>
        <v>Shree Jewellers Eximp Private Limited</v>
      </c>
      <c r="B1" s="49"/>
      <c r="C1" s="48"/>
      <c r="D1" s="82"/>
      <c r="M1" s="124"/>
      <c r="N1" s="124"/>
      <c r="O1" s="124"/>
      <c r="P1" s="124"/>
      <c r="Q1" s="124"/>
      <c r="R1" s="124"/>
      <c r="S1" s="63"/>
      <c r="T1" s="124"/>
    </row>
    <row r="2" spans="1:28">
      <c r="A2" s="1" t="str">
        <f>+[1]Dia!A2</f>
        <v>3-6-354/1,2 &amp;18 Basheerbagh Branch</v>
      </c>
      <c r="B2" s="49"/>
      <c r="C2" s="48"/>
      <c r="D2" s="82"/>
      <c r="E2" s="48"/>
      <c r="I2" s="48"/>
      <c r="J2" s="49"/>
      <c r="K2" s="48"/>
      <c r="L2" s="82"/>
      <c r="M2" s="48"/>
      <c r="N2" s="48"/>
      <c r="O2" s="48"/>
      <c r="P2" s="48"/>
      <c r="Q2" s="48"/>
      <c r="R2" s="48"/>
      <c r="S2" s="49"/>
      <c r="T2" s="48"/>
      <c r="U2" s="82"/>
      <c r="V2" s="48"/>
      <c r="W2" s="82"/>
      <c r="X2" s="48" t="str">
        <f>[1]Rubi!X2</f>
        <v>AY 2026-2027</v>
      </c>
    </row>
    <row r="3" spans="1:28">
      <c r="A3" s="1" t="str">
        <f>+[1]Dia!A3</f>
        <v>Hyderabad - 500029</v>
      </c>
      <c r="B3" s="49"/>
      <c r="C3" s="48"/>
      <c r="D3" s="82"/>
      <c r="E3" s="48"/>
      <c r="F3" s="48"/>
      <c r="G3" s="48"/>
      <c r="J3" s="49"/>
      <c r="K3" s="48"/>
      <c r="L3" s="82"/>
      <c r="M3" s="48"/>
      <c r="N3" s="48"/>
      <c r="O3" s="48"/>
      <c r="P3" s="48"/>
      <c r="Q3" s="48"/>
      <c r="R3" s="48"/>
      <c r="S3" s="49"/>
      <c r="T3" s="48"/>
      <c r="U3" s="82"/>
      <c r="V3" s="48"/>
      <c r="W3" s="82"/>
      <c r="X3" s="48"/>
    </row>
    <row r="4" spans="1:28">
      <c r="B4" s="49"/>
      <c r="C4" s="48"/>
      <c r="D4" s="82"/>
      <c r="E4" s="48"/>
      <c r="F4" s="48"/>
      <c r="G4" s="48"/>
      <c r="H4" s="48"/>
      <c r="I4" s="48"/>
      <c r="J4" s="49"/>
      <c r="K4" s="48"/>
      <c r="L4" s="82"/>
      <c r="M4" s="48"/>
      <c r="N4" s="48"/>
      <c r="O4" s="48"/>
      <c r="P4" s="48"/>
      <c r="Q4" s="48"/>
      <c r="R4" s="48"/>
      <c r="S4" s="49"/>
      <c r="T4" s="48"/>
      <c r="U4" s="82"/>
      <c r="V4" s="48"/>
      <c r="W4" s="82"/>
      <c r="X4" s="48"/>
    </row>
    <row r="5" spans="1:28">
      <c r="A5" s="92" t="s">
        <v>204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28"/>
    </row>
    <row r="6" spans="1:28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8" s="21" customFormat="1" ht="27.6">
      <c r="A7" s="9" t="s">
        <v>1</v>
      </c>
      <c r="B7" s="10" t="s">
        <v>2</v>
      </c>
      <c r="C7" s="10"/>
      <c r="D7" s="10" t="s">
        <v>3</v>
      </c>
      <c r="E7" s="10"/>
      <c r="F7" s="11" t="s">
        <v>4</v>
      </c>
      <c r="G7" s="12"/>
      <c r="H7" s="11" t="s">
        <v>5</v>
      </c>
      <c r="I7" s="12"/>
      <c r="J7" s="11" t="s">
        <v>6</v>
      </c>
      <c r="K7" s="12"/>
      <c r="L7" s="10" t="s">
        <v>7</v>
      </c>
      <c r="M7" s="10"/>
      <c r="N7" s="13" t="s">
        <v>8</v>
      </c>
      <c r="O7" s="11" t="s">
        <v>9</v>
      </c>
      <c r="P7" s="12"/>
      <c r="Q7" s="11" t="s">
        <v>10</v>
      </c>
      <c r="R7" s="12"/>
      <c r="S7" s="14" t="s">
        <v>11</v>
      </c>
      <c r="T7" s="15"/>
      <c r="U7" s="16" t="s">
        <v>12</v>
      </c>
      <c r="V7" s="17"/>
      <c r="W7" s="10" t="s">
        <v>13</v>
      </c>
      <c r="X7" s="10"/>
      <c r="Y7" s="125" t="s">
        <v>14</v>
      </c>
      <c r="Z7" s="20" t="s">
        <v>35</v>
      </c>
      <c r="AA7" s="20" t="str">
        <f>+[1]Rubi!AA7</f>
        <v>GP AY 2025-26</v>
      </c>
      <c r="AB7" s="20" t="s">
        <v>16</v>
      </c>
    </row>
    <row r="8" spans="1:28" s="21" customFormat="1" ht="27.6">
      <c r="A8" s="22">
        <v>1</v>
      </c>
      <c r="B8" s="23" t="s">
        <v>17</v>
      </c>
      <c r="C8" s="24" t="s">
        <v>18</v>
      </c>
      <c r="D8" s="23" t="s">
        <v>19</v>
      </c>
      <c r="E8" s="24" t="s">
        <v>20</v>
      </c>
      <c r="F8" s="23" t="s">
        <v>21</v>
      </c>
      <c r="G8" s="24" t="s">
        <v>22</v>
      </c>
      <c r="H8" s="23" t="s">
        <v>21</v>
      </c>
      <c r="I8" s="24" t="s">
        <v>22</v>
      </c>
      <c r="J8" s="23" t="s">
        <v>23</v>
      </c>
      <c r="K8" s="24" t="s">
        <v>24</v>
      </c>
      <c r="L8" s="25" t="s">
        <v>25</v>
      </c>
      <c r="M8" s="24" t="s">
        <v>26</v>
      </c>
      <c r="N8" s="13" t="s">
        <v>27</v>
      </c>
      <c r="O8" s="23" t="s">
        <v>21</v>
      </c>
      <c r="P8" s="24" t="s">
        <v>22</v>
      </c>
      <c r="Q8" s="23" t="s">
        <v>21</v>
      </c>
      <c r="R8" s="24" t="s">
        <v>22</v>
      </c>
      <c r="S8" s="23" t="s">
        <v>28</v>
      </c>
      <c r="T8" s="24" t="s">
        <v>29</v>
      </c>
      <c r="U8" s="23" t="s">
        <v>30</v>
      </c>
      <c r="V8" s="24" t="s">
        <v>31</v>
      </c>
      <c r="W8" s="23" t="s">
        <v>32</v>
      </c>
      <c r="X8" s="24" t="s">
        <v>33</v>
      </c>
      <c r="Y8" s="24" t="s">
        <v>34</v>
      </c>
      <c r="Z8" s="27"/>
      <c r="AA8" s="27"/>
      <c r="AB8" s="27"/>
    </row>
    <row r="9" spans="1:28">
      <c r="A9" s="28" t="s">
        <v>205</v>
      </c>
      <c r="B9" s="49"/>
      <c r="C9" s="48"/>
      <c r="D9" s="82"/>
      <c r="E9" s="48"/>
      <c r="F9" s="48"/>
      <c r="G9" s="48"/>
      <c r="H9" s="48"/>
      <c r="I9" s="48"/>
      <c r="J9" s="49"/>
      <c r="K9" s="48"/>
      <c r="L9" s="82"/>
      <c r="M9" s="124"/>
      <c r="N9" s="48"/>
      <c r="O9" s="48"/>
      <c r="P9" s="48"/>
      <c r="Q9" s="48"/>
      <c r="R9" s="48"/>
      <c r="S9" s="49"/>
      <c r="T9" s="48"/>
      <c r="U9" s="82"/>
      <c r="V9" s="48"/>
      <c r="W9" s="82"/>
      <c r="X9" s="48"/>
    </row>
    <row r="10" spans="1:28">
      <c r="A10" s="1" t="s">
        <v>206</v>
      </c>
      <c r="B10" s="49">
        <f>485.91+6.37+13754.94</f>
        <v>14247.220000000001</v>
      </c>
      <c r="C10" s="48">
        <f>37670.2420682224+576.372810052788+929513.134181105</f>
        <v>967759.74905938015</v>
      </c>
      <c r="D10" s="82">
        <v>0</v>
      </c>
      <c r="E10" s="48">
        <v>0</v>
      </c>
      <c r="F10" s="49">
        <v>0</v>
      </c>
      <c r="G10" s="48">
        <v>0</v>
      </c>
      <c r="H10" s="49">
        <v>0</v>
      </c>
      <c r="I10" s="48">
        <v>0</v>
      </c>
      <c r="J10" s="63">
        <f>+F10+H10</f>
        <v>0</v>
      </c>
      <c r="K10" s="124">
        <f>+G10+I10</f>
        <v>0</v>
      </c>
      <c r="L10" s="82">
        <f t="shared" ref="L10:M47" si="0">+B10+D10+H10</f>
        <v>14247.220000000001</v>
      </c>
      <c r="M10" s="6">
        <f t="shared" si="0"/>
        <v>967759.74905938015</v>
      </c>
      <c r="N10" s="48">
        <f>M10/L10</f>
        <v>67.926216416913618</v>
      </c>
      <c r="O10" s="48">
        <v>0</v>
      </c>
      <c r="P10" s="48">
        <f>+O10*N10</f>
        <v>0</v>
      </c>
      <c r="Q10" s="49">
        <v>1385.5039999999999</v>
      </c>
      <c r="R10" s="48">
        <f>Q10*N10</f>
        <v>94112.044550499486</v>
      </c>
      <c r="S10" s="76">
        <f>+O10+Q10</f>
        <v>1385.5039999999999</v>
      </c>
      <c r="T10" s="77">
        <f>+P10+R10</f>
        <v>94112.044550499486</v>
      </c>
      <c r="U10" s="82">
        <v>12426.159999999983</v>
      </c>
      <c r="V10" s="48">
        <v>1247566</v>
      </c>
      <c r="W10" s="30">
        <f t="shared" ref="W10:W47" si="1">L10-U10-Q10</f>
        <v>435.55600000001778</v>
      </c>
      <c r="X10" s="6">
        <f t="shared" ref="X10:X47" si="2">W10*N10</f>
        <v>29585.671117686434</v>
      </c>
      <c r="Y10" s="4">
        <f t="shared" ref="Y10:Y47" si="3">+X10+V10+R10-M10</f>
        <v>403503.9666088057</v>
      </c>
      <c r="Z10" s="126">
        <f>IF(Y10&gt;0,(Y10/V10),0)</f>
        <v>0.32343296195055465</v>
      </c>
      <c r="AA10" s="5">
        <v>0.22540449523496073</v>
      </c>
      <c r="AB10" s="114">
        <f t="shared" ref="AB10:AB47" si="4">Z10-AA10</f>
        <v>9.8028466715593926E-2</v>
      </c>
    </row>
    <row r="11" spans="1:28">
      <c r="A11" s="1" t="s">
        <v>207</v>
      </c>
      <c r="B11" s="49">
        <v>78.91</v>
      </c>
      <c r="C11" s="48">
        <v>74893.856856224869</v>
      </c>
      <c r="D11" s="82">
        <v>0</v>
      </c>
      <c r="E11" s="48">
        <v>0</v>
      </c>
      <c r="F11" s="49">
        <v>0</v>
      </c>
      <c r="G11" s="48">
        <v>0</v>
      </c>
      <c r="H11" s="49">
        <v>481.26</v>
      </c>
      <c r="I11" s="48">
        <v>336690.20453769574</v>
      </c>
      <c r="J11" s="63">
        <f t="shared" ref="J11:K47" si="5">+F11+H11</f>
        <v>481.26</v>
      </c>
      <c r="K11" s="124">
        <f t="shared" si="5"/>
        <v>336690.20453769574</v>
      </c>
      <c r="L11" s="82">
        <f t="shared" si="0"/>
        <v>560.16999999999996</v>
      </c>
      <c r="M11" s="6">
        <f t="shared" si="0"/>
        <v>411584.06139392062</v>
      </c>
      <c r="N11" s="48">
        <f t="shared" ref="N11:N47" si="6">M11/L11</f>
        <v>734.74848955481491</v>
      </c>
      <c r="O11" s="48">
        <v>0</v>
      </c>
      <c r="P11" s="48">
        <f t="shared" ref="P11:P47" si="7">+O11*N11</f>
        <v>0</v>
      </c>
      <c r="Q11" s="49">
        <v>0</v>
      </c>
      <c r="R11" s="48">
        <f t="shared" ref="R11:R47" si="8">Q11*N11</f>
        <v>0</v>
      </c>
      <c r="S11" s="76">
        <f t="shared" ref="S11:T47" si="9">+O11+Q11</f>
        <v>0</v>
      </c>
      <c r="T11" s="77">
        <f t="shared" si="9"/>
        <v>0</v>
      </c>
      <c r="U11" s="82">
        <v>105.29</v>
      </c>
      <c r="V11" s="48">
        <v>105290</v>
      </c>
      <c r="W11" s="30">
        <f t="shared" si="1"/>
        <v>454.87999999999994</v>
      </c>
      <c r="X11" s="6">
        <f t="shared" si="2"/>
        <v>334222.39292869414</v>
      </c>
      <c r="Y11" s="4">
        <f t="shared" si="3"/>
        <v>27928.331534773519</v>
      </c>
      <c r="Z11" s="126">
        <f t="shared" ref="Z11:Z47" si="10">IF(Y11&gt;0,(Y11/V11),0)</f>
        <v>0.26525151044518491</v>
      </c>
      <c r="AA11" s="5">
        <v>5.0895236899950465E-2</v>
      </c>
      <c r="AB11" s="114">
        <f t="shared" si="4"/>
        <v>0.21435627354523445</v>
      </c>
    </row>
    <row r="12" spans="1:28">
      <c r="A12" s="1" t="s">
        <v>208</v>
      </c>
      <c r="B12" s="49">
        <v>0.95</v>
      </c>
      <c r="C12" s="48">
        <v>6766.9207665844388</v>
      </c>
      <c r="D12" s="82">
        <v>0</v>
      </c>
      <c r="E12" s="48">
        <v>0</v>
      </c>
      <c r="F12" s="49">
        <v>0</v>
      </c>
      <c r="G12" s="48">
        <v>0</v>
      </c>
      <c r="H12" s="49">
        <v>0</v>
      </c>
      <c r="I12" s="48">
        <v>0</v>
      </c>
      <c r="J12" s="63">
        <f t="shared" si="5"/>
        <v>0</v>
      </c>
      <c r="K12" s="124">
        <f t="shared" si="5"/>
        <v>0</v>
      </c>
      <c r="L12" s="82">
        <f t="shared" si="0"/>
        <v>0.95</v>
      </c>
      <c r="M12" s="6">
        <f t="shared" si="0"/>
        <v>6766.9207665844388</v>
      </c>
      <c r="N12" s="48">
        <f t="shared" si="6"/>
        <v>7123.074491141515</v>
      </c>
      <c r="O12" s="48">
        <v>0</v>
      </c>
      <c r="P12" s="48">
        <f t="shared" si="7"/>
        <v>0</v>
      </c>
      <c r="Q12" s="49">
        <v>0</v>
      </c>
      <c r="R12" s="48">
        <f t="shared" si="8"/>
        <v>0</v>
      </c>
      <c r="S12" s="76">
        <f t="shared" si="9"/>
        <v>0</v>
      </c>
      <c r="T12" s="77">
        <f t="shared" si="9"/>
        <v>0</v>
      </c>
      <c r="U12" s="82">
        <v>0.95</v>
      </c>
      <c r="V12" s="48">
        <v>9500</v>
      </c>
      <c r="W12" s="30">
        <f t="shared" si="1"/>
        <v>0</v>
      </c>
      <c r="X12" s="6">
        <f t="shared" si="2"/>
        <v>0</v>
      </c>
      <c r="Y12" s="4">
        <f t="shared" si="3"/>
        <v>2733.0792334155612</v>
      </c>
      <c r="Z12" s="126">
        <f t="shared" si="10"/>
        <v>0.28769255088584855</v>
      </c>
      <c r="AA12" s="5">
        <v>0</v>
      </c>
      <c r="AB12" s="114">
        <f t="shared" si="4"/>
        <v>0.28769255088584855</v>
      </c>
    </row>
    <row r="13" spans="1:28">
      <c r="A13" s="1" t="s">
        <v>209</v>
      </c>
      <c r="B13" s="49">
        <f>545.665+147.69</f>
        <v>693.35500000000002</v>
      </c>
      <c r="C13" s="48">
        <f>515872.954880309+108498.824690896</f>
        <v>624371.77957120503</v>
      </c>
      <c r="D13" s="82">
        <v>0</v>
      </c>
      <c r="E13" s="48">
        <v>0</v>
      </c>
      <c r="F13" s="49">
        <v>0</v>
      </c>
      <c r="G13" s="48">
        <v>0</v>
      </c>
      <c r="H13" s="49">
        <v>0</v>
      </c>
      <c r="I13" s="48">
        <v>0</v>
      </c>
      <c r="J13" s="63">
        <f t="shared" si="5"/>
        <v>0</v>
      </c>
      <c r="K13" s="124">
        <f t="shared" si="5"/>
        <v>0</v>
      </c>
      <c r="L13" s="82">
        <f t="shared" si="0"/>
        <v>693.35500000000002</v>
      </c>
      <c r="M13" s="6">
        <f t="shared" si="0"/>
        <v>624371.77957120503</v>
      </c>
      <c r="N13" s="48">
        <f t="shared" si="6"/>
        <v>900.5080796579025</v>
      </c>
      <c r="O13" s="48">
        <v>0</v>
      </c>
      <c r="P13" s="48">
        <f t="shared" si="7"/>
        <v>0</v>
      </c>
      <c r="Q13" s="49">
        <v>652.17999999999995</v>
      </c>
      <c r="R13" s="48">
        <f t="shared" si="8"/>
        <v>587293.35939129081</v>
      </c>
      <c r="S13" s="76">
        <f t="shared" si="9"/>
        <v>652.17999999999995</v>
      </c>
      <c r="T13" s="77">
        <f t="shared" si="9"/>
        <v>587293.35939129081</v>
      </c>
      <c r="U13" s="82">
        <v>15.99</v>
      </c>
      <c r="V13" s="48">
        <v>17589</v>
      </c>
      <c r="W13" s="30">
        <f t="shared" si="1"/>
        <v>25.185000000000059</v>
      </c>
      <c r="X13" s="6">
        <f t="shared" si="2"/>
        <v>22679.295986184326</v>
      </c>
      <c r="Y13" s="4">
        <f t="shared" si="3"/>
        <v>3189.8758062700508</v>
      </c>
      <c r="Z13" s="126">
        <f t="shared" si="10"/>
        <v>0.18135629122008362</v>
      </c>
      <c r="AA13" s="5">
        <v>0.14054334889069783</v>
      </c>
      <c r="AB13" s="114">
        <f t="shared" si="4"/>
        <v>4.0812942329385787E-2</v>
      </c>
    </row>
    <row r="14" spans="1:28">
      <c r="A14" s="1" t="s">
        <v>210</v>
      </c>
      <c r="B14" s="49">
        <v>172.92000000000002</v>
      </c>
      <c r="C14" s="48">
        <v>207504.00000000003</v>
      </c>
      <c r="D14" s="82">
        <v>0</v>
      </c>
      <c r="E14" s="48">
        <v>0</v>
      </c>
      <c r="F14" s="49">
        <v>0</v>
      </c>
      <c r="G14" s="48">
        <v>0</v>
      </c>
      <c r="H14" s="49">
        <v>0</v>
      </c>
      <c r="I14" s="48">
        <v>0</v>
      </c>
      <c r="J14" s="63">
        <f t="shared" si="5"/>
        <v>0</v>
      </c>
      <c r="K14" s="124">
        <f t="shared" si="5"/>
        <v>0</v>
      </c>
      <c r="L14" s="82">
        <f t="shared" si="0"/>
        <v>172.92000000000002</v>
      </c>
      <c r="M14" s="6">
        <f t="shared" si="0"/>
        <v>207504.00000000003</v>
      </c>
      <c r="N14" s="48">
        <f t="shared" si="6"/>
        <v>1200</v>
      </c>
      <c r="O14" s="48">
        <v>0</v>
      </c>
      <c r="P14" s="48">
        <f t="shared" si="7"/>
        <v>0</v>
      </c>
      <c r="Q14" s="49">
        <v>124.27000000000001</v>
      </c>
      <c r="R14" s="48">
        <f t="shared" si="8"/>
        <v>149124</v>
      </c>
      <c r="S14" s="76">
        <f t="shared" si="9"/>
        <v>124.27000000000001</v>
      </c>
      <c r="T14" s="77">
        <f t="shared" si="9"/>
        <v>149124</v>
      </c>
      <c r="U14" s="82">
        <v>0</v>
      </c>
      <c r="V14" s="48">
        <v>0</v>
      </c>
      <c r="W14" s="30">
        <f t="shared" si="1"/>
        <v>48.650000000000006</v>
      </c>
      <c r="X14" s="6">
        <f t="shared" si="2"/>
        <v>58380.000000000007</v>
      </c>
      <c r="Y14" s="4">
        <f t="shared" si="3"/>
        <v>0</v>
      </c>
      <c r="Z14" s="126">
        <f t="shared" si="10"/>
        <v>0</v>
      </c>
      <c r="AA14" s="5">
        <v>0</v>
      </c>
      <c r="AB14" s="114">
        <f t="shared" si="4"/>
        <v>0</v>
      </c>
    </row>
    <row r="15" spans="1:28">
      <c r="A15" s="1" t="s">
        <v>211</v>
      </c>
      <c r="B15" s="49">
        <v>3.36</v>
      </c>
      <c r="C15" s="48">
        <v>3053.7772278959496</v>
      </c>
      <c r="D15" s="82">
        <v>0</v>
      </c>
      <c r="E15" s="48">
        <v>0</v>
      </c>
      <c r="F15" s="49">
        <v>0</v>
      </c>
      <c r="G15" s="48">
        <v>0</v>
      </c>
      <c r="H15" s="49">
        <v>0</v>
      </c>
      <c r="I15" s="48">
        <v>0</v>
      </c>
      <c r="J15" s="63">
        <f t="shared" si="5"/>
        <v>0</v>
      </c>
      <c r="K15" s="124">
        <f t="shared" si="5"/>
        <v>0</v>
      </c>
      <c r="L15" s="82">
        <f t="shared" si="0"/>
        <v>3.36</v>
      </c>
      <c r="M15" s="6">
        <f t="shared" si="0"/>
        <v>3053.7772278959496</v>
      </c>
      <c r="N15" s="48">
        <f t="shared" si="6"/>
        <v>908.86227020712795</v>
      </c>
      <c r="O15" s="48">
        <v>0</v>
      </c>
      <c r="P15" s="48">
        <f t="shared" si="7"/>
        <v>0</v>
      </c>
      <c r="Q15" s="49">
        <v>0</v>
      </c>
      <c r="R15" s="48">
        <f t="shared" si="8"/>
        <v>0</v>
      </c>
      <c r="S15" s="76">
        <f t="shared" si="9"/>
        <v>0</v>
      </c>
      <c r="T15" s="77">
        <f t="shared" si="9"/>
        <v>0</v>
      </c>
      <c r="U15" s="82">
        <v>0</v>
      </c>
      <c r="V15" s="48">
        <v>0</v>
      </c>
      <c r="W15" s="30">
        <f t="shared" si="1"/>
        <v>3.36</v>
      </c>
      <c r="X15" s="6">
        <f t="shared" si="2"/>
        <v>3053.7772278959496</v>
      </c>
      <c r="Y15" s="4">
        <f t="shared" si="3"/>
        <v>0</v>
      </c>
      <c r="Z15" s="126">
        <f t="shared" si="10"/>
        <v>0</v>
      </c>
      <c r="AA15" s="5">
        <v>0.27291018383429766</v>
      </c>
      <c r="AB15" s="114">
        <f t="shared" si="4"/>
        <v>-0.27291018383429766</v>
      </c>
    </row>
    <row r="16" spans="1:28">
      <c r="A16" s="1" t="s">
        <v>212</v>
      </c>
      <c r="B16" s="49">
        <v>109.52</v>
      </c>
      <c r="C16" s="48">
        <v>150589.53108408974</v>
      </c>
      <c r="D16" s="82">
        <v>0</v>
      </c>
      <c r="E16" s="48">
        <v>0</v>
      </c>
      <c r="F16" s="49">
        <v>0</v>
      </c>
      <c r="G16" s="48">
        <v>0</v>
      </c>
      <c r="H16" s="49">
        <v>0</v>
      </c>
      <c r="I16" s="48">
        <v>0</v>
      </c>
      <c r="J16" s="63">
        <f t="shared" si="5"/>
        <v>0</v>
      </c>
      <c r="K16" s="124">
        <f t="shared" si="5"/>
        <v>0</v>
      </c>
      <c r="L16" s="82">
        <f t="shared" si="0"/>
        <v>109.52</v>
      </c>
      <c r="M16" s="6">
        <f t="shared" si="0"/>
        <v>150589.53108408974</v>
      </c>
      <c r="N16" s="48">
        <f t="shared" si="6"/>
        <v>1374.9957184449393</v>
      </c>
      <c r="O16" s="48">
        <v>0</v>
      </c>
      <c r="P16" s="48">
        <f t="shared" si="7"/>
        <v>0</v>
      </c>
      <c r="Q16" s="49">
        <v>101.63</v>
      </c>
      <c r="R16" s="48">
        <f t="shared" si="8"/>
        <v>139740.81486555916</v>
      </c>
      <c r="S16" s="76">
        <f t="shared" si="9"/>
        <v>101.63</v>
      </c>
      <c r="T16" s="77">
        <f t="shared" si="9"/>
        <v>139740.81486555916</v>
      </c>
      <c r="U16" s="82">
        <v>0</v>
      </c>
      <c r="V16" s="48">
        <v>0</v>
      </c>
      <c r="W16" s="30">
        <f t="shared" si="1"/>
        <v>7.8900000000000006</v>
      </c>
      <c r="X16" s="6">
        <f t="shared" si="2"/>
        <v>10848.716218530571</v>
      </c>
      <c r="Y16" s="4">
        <f t="shared" si="3"/>
        <v>0</v>
      </c>
      <c r="Z16" s="126">
        <f t="shared" si="10"/>
        <v>0</v>
      </c>
      <c r="AA16" s="5">
        <v>1.7860201110757937E-2</v>
      </c>
      <c r="AB16" s="114">
        <f t="shared" si="4"/>
        <v>-1.7860201110757937E-2</v>
      </c>
    </row>
    <row r="17" spans="1:28">
      <c r="A17" s="1" t="s">
        <v>213</v>
      </c>
      <c r="B17" s="49">
        <f>453.57+1680.6</f>
        <v>2134.17</v>
      </c>
      <c r="C17" s="48">
        <f>54145.3487146479+235283.871030867</f>
        <v>289429.21974551491</v>
      </c>
      <c r="D17" s="82">
        <v>0</v>
      </c>
      <c r="E17" s="48">
        <v>0</v>
      </c>
      <c r="F17" s="49">
        <v>0</v>
      </c>
      <c r="G17" s="48">
        <v>0</v>
      </c>
      <c r="H17" s="49">
        <v>0</v>
      </c>
      <c r="I17" s="48">
        <v>0</v>
      </c>
      <c r="J17" s="63">
        <f t="shared" si="5"/>
        <v>0</v>
      </c>
      <c r="K17" s="124">
        <f t="shared" si="5"/>
        <v>0</v>
      </c>
      <c r="L17" s="82">
        <f t="shared" si="0"/>
        <v>2134.17</v>
      </c>
      <c r="M17" s="6">
        <f t="shared" si="0"/>
        <v>289429.21974551491</v>
      </c>
      <c r="N17" s="48">
        <f t="shared" si="6"/>
        <v>135.61675955782104</v>
      </c>
      <c r="O17" s="48">
        <v>0</v>
      </c>
      <c r="P17" s="48">
        <f t="shared" si="7"/>
        <v>0</v>
      </c>
      <c r="Q17" s="49">
        <v>459.32000000000016</v>
      </c>
      <c r="R17" s="48">
        <f t="shared" si="8"/>
        <v>62291.490000098383</v>
      </c>
      <c r="S17" s="76">
        <f t="shared" si="9"/>
        <v>459.32000000000016</v>
      </c>
      <c r="T17" s="77">
        <f t="shared" si="9"/>
        <v>62291.490000098383</v>
      </c>
      <c r="U17" s="82">
        <v>1480.1300000000003</v>
      </c>
      <c r="V17" s="48">
        <v>218893</v>
      </c>
      <c r="W17" s="30">
        <f t="shared" si="1"/>
        <v>194.71999999999957</v>
      </c>
      <c r="X17" s="6">
        <f t="shared" si="2"/>
        <v>26407.295421098854</v>
      </c>
      <c r="Y17" s="4">
        <f t="shared" si="3"/>
        <v>18162.56567568233</v>
      </c>
      <c r="Z17" s="126">
        <f t="shared" si="10"/>
        <v>8.2974629959305823E-2</v>
      </c>
      <c r="AA17" s="5">
        <v>0.25402787415443595</v>
      </c>
      <c r="AB17" s="114">
        <f t="shared" si="4"/>
        <v>-0.17105324419513013</v>
      </c>
    </row>
    <row r="18" spans="1:28">
      <c r="A18" s="1" t="s">
        <v>214</v>
      </c>
      <c r="B18" s="49">
        <v>2.65</v>
      </c>
      <c r="C18" s="48">
        <v>2956.3196232095361</v>
      </c>
      <c r="D18" s="82">
        <v>0</v>
      </c>
      <c r="E18" s="48">
        <v>0</v>
      </c>
      <c r="F18" s="49">
        <v>0</v>
      </c>
      <c r="G18" s="48">
        <v>0</v>
      </c>
      <c r="H18" s="49">
        <v>0</v>
      </c>
      <c r="I18" s="48">
        <v>0</v>
      </c>
      <c r="J18" s="63">
        <f t="shared" si="5"/>
        <v>0</v>
      </c>
      <c r="K18" s="124">
        <f t="shared" si="5"/>
        <v>0</v>
      </c>
      <c r="L18" s="82">
        <f t="shared" si="0"/>
        <v>2.65</v>
      </c>
      <c r="M18" s="6">
        <f t="shared" si="0"/>
        <v>2956.3196232095361</v>
      </c>
      <c r="N18" s="48">
        <f t="shared" si="6"/>
        <v>1115.592310645108</v>
      </c>
      <c r="O18" s="48">
        <v>0</v>
      </c>
      <c r="P18" s="48">
        <f t="shared" si="7"/>
        <v>0</v>
      </c>
      <c r="Q18" s="49">
        <v>0</v>
      </c>
      <c r="R18" s="48">
        <f t="shared" si="8"/>
        <v>0</v>
      </c>
      <c r="S18" s="76">
        <f t="shared" si="9"/>
        <v>0</v>
      </c>
      <c r="T18" s="77">
        <f t="shared" si="9"/>
        <v>0</v>
      </c>
      <c r="U18" s="82">
        <v>2.65</v>
      </c>
      <c r="V18" s="48">
        <v>4240</v>
      </c>
      <c r="W18" s="30">
        <f t="shared" si="1"/>
        <v>0</v>
      </c>
      <c r="X18" s="6">
        <f t="shared" si="2"/>
        <v>0</v>
      </c>
      <c r="Y18" s="4">
        <f t="shared" si="3"/>
        <v>1283.6803767904639</v>
      </c>
      <c r="Z18" s="126">
        <f t="shared" si="10"/>
        <v>0.30275480584680753</v>
      </c>
      <c r="AA18" s="5">
        <v>0</v>
      </c>
      <c r="AB18" s="114">
        <f t="shared" si="4"/>
        <v>0.30275480584680753</v>
      </c>
    </row>
    <row r="19" spans="1:28">
      <c r="A19" s="1" t="s">
        <v>215</v>
      </c>
      <c r="B19" s="49">
        <v>85.029999999999987</v>
      </c>
      <c r="C19" s="48">
        <v>143275.2106943336</v>
      </c>
      <c r="D19" s="82">
        <v>0</v>
      </c>
      <c r="E19" s="48">
        <v>0</v>
      </c>
      <c r="F19" s="49">
        <v>0</v>
      </c>
      <c r="G19" s="48">
        <v>0</v>
      </c>
      <c r="H19" s="49">
        <v>0</v>
      </c>
      <c r="I19" s="48">
        <v>0</v>
      </c>
      <c r="J19" s="63">
        <f t="shared" si="5"/>
        <v>0</v>
      </c>
      <c r="K19" s="124">
        <f t="shared" si="5"/>
        <v>0</v>
      </c>
      <c r="L19" s="82">
        <f t="shared" si="0"/>
        <v>85.029999999999987</v>
      </c>
      <c r="M19" s="6">
        <f t="shared" si="0"/>
        <v>143275.2106943336</v>
      </c>
      <c r="N19" s="48">
        <f t="shared" si="6"/>
        <v>1684.9960095770155</v>
      </c>
      <c r="O19" s="48">
        <v>0</v>
      </c>
      <c r="P19" s="48">
        <f t="shared" si="7"/>
        <v>0</v>
      </c>
      <c r="Q19" s="49">
        <v>15.02</v>
      </c>
      <c r="R19" s="48">
        <f t="shared" si="8"/>
        <v>25308.640063846771</v>
      </c>
      <c r="S19" s="76">
        <f t="shared" si="9"/>
        <v>15.02</v>
      </c>
      <c r="T19" s="77">
        <f t="shared" si="9"/>
        <v>25308.640063846771</v>
      </c>
      <c r="U19" s="82">
        <v>0</v>
      </c>
      <c r="V19" s="48">
        <v>0</v>
      </c>
      <c r="W19" s="30">
        <f t="shared" si="1"/>
        <v>70.009999999999991</v>
      </c>
      <c r="X19" s="6">
        <f t="shared" si="2"/>
        <v>117966.57063048684</v>
      </c>
      <c r="Y19" s="4">
        <f t="shared" si="3"/>
        <v>0</v>
      </c>
      <c r="Z19" s="126">
        <f t="shared" si="10"/>
        <v>0</v>
      </c>
      <c r="AA19" s="5">
        <v>0.37736306047782819</v>
      </c>
      <c r="AB19" s="114">
        <f t="shared" si="4"/>
        <v>-0.37736306047782819</v>
      </c>
    </row>
    <row r="20" spans="1:28">
      <c r="A20" s="1" t="s">
        <v>216</v>
      </c>
      <c r="B20" s="49">
        <v>17.68</v>
      </c>
      <c r="C20" s="48">
        <v>22819.366905438066</v>
      </c>
      <c r="D20" s="82">
        <v>0</v>
      </c>
      <c r="E20" s="48">
        <v>0</v>
      </c>
      <c r="F20" s="49">
        <v>0</v>
      </c>
      <c r="G20" s="48">
        <v>0</v>
      </c>
      <c r="H20" s="49">
        <v>0</v>
      </c>
      <c r="I20" s="48">
        <v>0</v>
      </c>
      <c r="J20" s="63">
        <f t="shared" si="5"/>
        <v>0</v>
      </c>
      <c r="K20" s="124">
        <f t="shared" si="5"/>
        <v>0</v>
      </c>
      <c r="L20" s="82">
        <f t="shared" si="0"/>
        <v>17.68</v>
      </c>
      <c r="M20" s="6">
        <f t="shared" si="0"/>
        <v>22819.366905438066</v>
      </c>
      <c r="N20" s="48">
        <f t="shared" si="6"/>
        <v>1290.6881733845059</v>
      </c>
      <c r="O20" s="48">
        <v>0</v>
      </c>
      <c r="P20" s="48">
        <f t="shared" si="7"/>
        <v>0</v>
      </c>
      <c r="Q20" s="49">
        <v>0</v>
      </c>
      <c r="R20" s="48">
        <f t="shared" si="8"/>
        <v>0</v>
      </c>
      <c r="S20" s="76">
        <f t="shared" si="9"/>
        <v>0</v>
      </c>
      <c r="T20" s="77">
        <f t="shared" si="9"/>
        <v>0</v>
      </c>
      <c r="U20" s="82">
        <v>17.68</v>
      </c>
      <c r="V20" s="48">
        <v>34614</v>
      </c>
      <c r="W20" s="30">
        <f t="shared" si="1"/>
        <v>0</v>
      </c>
      <c r="X20" s="6">
        <f t="shared" si="2"/>
        <v>0</v>
      </c>
      <c r="Y20" s="4">
        <f t="shared" si="3"/>
        <v>11794.633094561934</v>
      </c>
      <c r="Z20" s="126">
        <f t="shared" si="10"/>
        <v>0.34074747485300555</v>
      </c>
      <c r="AA20" s="5">
        <v>0.28295101478638607</v>
      </c>
      <c r="AB20" s="114">
        <f t="shared" si="4"/>
        <v>5.7796460066619482E-2</v>
      </c>
    </row>
    <row r="21" spans="1:28">
      <c r="A21" s="1" t="s">
        <v>217</v>
      </c>
      <c r="B21" s="49">
        <v>48.57</v>
      </c>
      <c r="C21" s="48">
        <v>89612.032173456901</v>
      </c>
      <c r="D21" s="82">
        <v>0</v>
      </c>
      <c r="E21" s="48">
        <v>0</v>
      </c>
      <c r="F21" s="49">
        <v>0</v>
      </c>
      <c r="G21" s="48">
        <v>0</v>
      </c>
      <c r="H21" s="49">
        <v>0</v>
      </c>
      <c r="I21" s="48">
        <v>0</v>
      </c>
      <c r="J21" s="63">
        <f t="shared" si="5"/>
        <v>0</v>
      </c>
      <c r="K21" s="124">
        <f t="shared" si="5"/>
        <v>0</v>
      </c>
      <c r="L21" s="82">
        <f t="shared" si="0"/>
        <v>48.57</v>
      </c>
      <c r="M21" s="6">
        <f t="shared" si="0"/>
        <v>89612.032173456901</v>
      </c>
      <c r="N21" s="48">
        <f t="shared" si="6"/>
        <v>1845.0078685084804</v>
      </c>
      <c r="O21" s="48">
        <v>0</v>
      </c>
      <c r="P21" s="48">
        <f t="shared" si="7"/>
        <v>0</v>
      </c>
      <c r="Q21" s="49">
        <v>40.35</v>
      </c>
      <c r="R21" s="48">
        <f t="shared" si="8"/>
        <v>74446.067494317191</v>
      </c>
      <c r="S21" s="76">
        <f t="shared" si="9"/>
        <v>40.35</v>
      </c>
      <c r="T21" s="77">
        <f t="shared" si="9"/>
        <v>74446.067494317191</v>
      </c>
      <c r="U21" s="82">
        <v>0</v>
      </c>
      <c r="V21" s="48">
        <v>0</v>
      </c>
      <c r="W21" s="30">
        <f t="shared" si="1"/>
        <v>8.2199999999999989</v>
      </c>
      <c r="X21" s="6">
        <f t="shared" si="2"/>
        <v>15165.964679139706</v>
      </c>
      <c r="Y21" s="4">
        <f t="shared" si="3"/>
        <v>0</v>
      </c>
      <c r="Z21" s="126">
        <f t="shared" si="10"/>
        <v>0</v>
      </c>
      <c r="AA21" s="5">
        <v>2.8943227100799891E-2</v>
      </c>
      <c r="AB21" s="114">
        <f t="shared" si="4"/>
        <v>-2.8943227100799891E-2</v>
      </c>
    </row>
    <row r="22" spans="1:28">
      <c r="A22" s="1" t="s">
        <v>218</v>
      </c>
      <c r="B22" s="49">
        <f>817.655+595.14</f>
        <v>1412.7950000000001</v>
      </c>
      <c r="C22" s="48">
        <f>171707.356690892+103855.930396443</f>
        <v>275563.28708733502</v>
      </c>
      <c r="D22" s="82">
        <v>0</v>
      </c>
      <c r="E22" s="48">
        <v>0</v>
      </c>
      <c r="F22" s="49">
        <v>0</v>
      </c>
      <c r="G22" s="48">
        <v>0</v>
      </c>
      <c r="H22" s="49">
        <v>0</v>
      </c>
      <c r="I22" s="48">
        <v>0</v>
      </c>
      <c r="J22" s="63">
        <f t="shared" si="5"/>
        <v>0</v>
      </c>
      <c r="K22" s="124">
        <f t="shared" si="5"/>
        <v>0</v>
      </c>
      <c r="L22" s="82">
        <f t="shared" si="0"/>
        <v>1412.7950000000001</v>
      </c>
      <c r="M22" s="6">
        <f t="shared" si="0"/>
        <v>275563.28708733502</v>
      </c>
      <c r="N22" s="48">
        <f t="shared" si="6"/>
        <v>195.0483170504815</v>
      </c>
      <c r="O22" s="48">
        <v>0</v>
      </c>
      <c r="P22" s="48">
        <f t="shared" si="7"/>
        <v>0</v>
      </c>
      <c r="Q22" s="49">
        <f>1082.6-320.3</f>
        <v>762.3</v>
      </c>
      <c r="R22" s="48">
        <f t="shared" si="8"/>
        <v>148685.33208758204</v>
      </c>
      <c r="S22" s="76">
        <f t="shared" si="9"/>
        <v>762.3</v>
      </c>
      <c r="T22" s="77">
        <f t="shared" si="9"/>
        <v>148685.33208758204</v>
      </c>
      <c r="U22" s="82">
        <v>256.32</v>
      </c>
      <c r="V22" s="48">
        <v>51264</v>
      </c>
      <c r="W22" s="30">
        <f t="shared" si="1"/>
        <v>394.17500000000018</v>
      </c>
      <c r="X22" s="6">
        <f t="shared" si="2"/>
        <v>76883.170373373578</v>
      </c>
      <c r="Y22" s="4">
        <f t="shared" si="3"/>
        <v>1269.2153736206237</v>
      </c>
      <c r="Z22" s="126">
        <f t="shared" si="10"/>
        <v>2.4758414747593317E-2</v>
      </c>
      <c r="AA22" s="5">
        <v>0</v>
      </c>
      <c r="AB22" s="114">
        <f t="shared" si="4"/>
        <v>2.4758414747593317E-2</v>
      </c>
    </row>
    <row r="23" spans="1:28">
      <c r="A23" s="1" t="s">
        <v>219</v>
      </c>
      <c r="B23" s="49">
        <v>57.870000000000005</v>
      </c>
      <c r="C23" s="48">
        <v>100625.35961771355</v>
      </c>
      <c r="D23" s="82">
        <v>0</v>
      </c>
      <c r="E23" s="48">
        <v>0</v>
      </c>
      <c r="F23" s="49">
        <v>0</v>
      </c>
      <c r="G23" s="48">
        <v>0</v>
      </c>
      <c r="H23" s="49">
        <v>0</v>
      </c>
      <c r="I23" s="48">
        <v>0</v>
      </c>
      <c r="J23" s="63">
        <f t="shared" si="5"/>
        <v>0</v>
      </c>
      <c r="K23" s="124">
        <f t="shared" si="5"/>
        <v>0</v>
      </c>
      <c r="L23" s="82">
        <f t="shared" si="0"/>
        <v>57.870000000000005</v>
      </c>
      <c r="M23" s="6">
        <f t="shared" si="0"/>
        <v>100625.35961771355</v>
      </c>
      <c r="N23" s="48">
        <f t="shared" si="6"/>
        <v>1738.8173426250828</v>
      </c>
      <c r="O23" s="48">
        <v>0</v>
      </c>
      <c r="P23" s="48">
        <f t="shared" si="7"/>
        <v>0</v>
      </c>
      <c r="Q23" s="49">
        <v>50.05</v>
      </c>
      <c r="R23" s="48">
        <f t="shared" si="8"/>
        <v>87027.807998385382</v>
      </c>
      <c r="S23" s="76">
        <f t="shared" si="9"/>
        <v>50.05</v>
      </c>
      <c r="T23" s="77">
        <f t="shared" si="9"/>
        <v>87027.807998385382</v>
      </c>
      <c r="U23" s="82">
        <v>7.82</v>
      </c>
      <c r="V23" s="48">
        <v>15640</v>
      </c>
      <c r="W23" s="30">
        <f t="shared" si="1"/>
        <v>0</v>
      </c>
      <c r="X23" s="6">
        <f t="shared" si="2"/>
        <v>0</v>
      </c>
      <c r="Y23" s="4">
        <f t="shared" si="3"/>
        <v>2042.4483806718345</v>
      </c>
      <c r="Z23" s="126">
        <f t="shared" si="10"/>
        <v>0.13059132868745746</v>
      </c>
      <c r="AA23" s="5">
        <v>0</v>
      </c>
      <c r="AB23" s="114">
        <f t="shared" si="4"/>
        <v>0.13059132868745746</v>
      </c>
    </row>
    <row r="24" spans="1:28">
      <c r="A24" s="1" t="s">
        <v>220</v>
      </c>
      <c r="B24" s="49">
        <v>2.13</v>
      </c>
      <c r="C24" s="48">
        <v>4473</v>
      </c>
      <c r="D24" s="82">
        <v>0</v>
      </c>
      <c r="E24" s="48">
        <v>0</v>
      </c>
      <c r="F24" s="49">
        <v>0</v>
      </c>
      <c r="G24" s="48">
        <v>0</v>
      </c>
      <c r="H24" s="49">
        <v>0</v>
      </c>
      <c r="I24" s="48">
        <v>0</v>
      </c>
      <c r="J24" s="63">
        <f t="shared" si="5"/>
        <v>0</v>
      </c>
      <c r="K24" s="124">
        <f t="shared" si="5"/>
        <v>0</v>
      </c>
      <c r="L24" s="82">
        <f t="shared" si="0"/>
        <v>2.13</v>
      </c>
      <c r="M24" s="6">
        <f t="shared" si="0"/>
        <v>4473</v>
      </c>
      <c r="N24" s="48">
        <f t="shared" si="6"/>
        <v>2100</v>
      </c>
      <c r="O24" s="48">
        <v>0</v>
      </c>
      <c r="P24" s="48">
        <f t="shared" si="7"/>
        <v>0</v>
      </c>
      <c r="Q24" s="49">
        <v>0</v>
      </c>
      <c r="R24" s="48">
        <f t="shared" si="8"/>
        <v>0</v>
      </c>
      <c r="S24" s="76">
        <f t="shared" si="9"/>
        <v>0</v>
      </c>
      <c r="T24" s="77">
        <f t="shared" si="9"/>
        <v>0</v>
      </c>
      <c r="U24" s="82">
        <v>2.13</v>
      </c>
      <c r="V24" s="48">
        <v>4473</v>
      </c>
      <c r="W24" s="30">
        <f t="shared" si="1"/>
        <v>0</v>
      </c>
      <c r="X24" s="6">
        <f t="shared" si="2"/>
        <v>0</v>
      </c>
      <c r="Y24" s="4">
        <f t="shared" si="3"/>
        <v>0</v>
      </c>
      <c r="Z24" s="126">
        <f t="shared" si="10"/>
        <v>0</v>
      </c>
      <c r="AA24" s="5">
        <v>0</v>
      </c>
      <c r="AB24" s="114">
        <f t="shared" si="4"/>
        <v>0</v>
      </c>
    </row>
    <row r="25" spans="1:28">
      <c r="A25" s="1" t="s">
        <v>221</v>
      </c>
      <c r="B25" s="49">
        <v>250.89999999999998</v>
      </c>
      <c r="C25" s="48">
        <v>57383.203004203351</v>
      </c>
      <c r="D25" s="82">
        <v>0</v>
      </c>
      <c r="E25" s="48">
        <v>0</v>
      </c>
      <c r="F25" s="49">
        <v>0</v>
      </c>
      <c r="G25" s="48">
        <v>0</v>
      </c>
      <c r="H25" s="49">
        <v>0</v>
      </c>
      <c r="I25" s="48">
        <v>0</v>
      </c>
      <c r="J25" s="63">
        <f t="shared" si="5"/>
        <v>0</v>
      </c>
      <c r="K25" s="124">
        <f t="shared" si="5"/>
        <v>0</v>
      </c>
      <c r="L25" s="82">
        <f t="shared" si="0"/>
        <v>250.89999999999998</v>
      </c>
      <c r="M25" s="6">
        <f t="shared" si="0"/>
        <v>57383.203004203351</v>
      </c>
      <c r="N25" s="48">
        <f t="shared" si="6"/>
        <v>228.70945796812816</v>
      </c>
      <c r="O25" s="48">
        <v>0</v>
      </c>
      <c r="P25" s="48">
        <f t="shared" si="7"/>
        <v>0</v>
      </c>
      <c r="Q25" s="49">
        <v>216.2</v>
      </c>
      <c r="R25" s="48">
        <f t="shared" si="8"/>
        <v>49446.984812709306</v>
      </c>
      <c r="S25" s="76">
        <f t="shared" si="9"/>
        <v>216.2</v>
      </c>
      <c r="T25" s="77">
        <f t="shared" si="9"/>
        <v>49446.984812709306</v>
      </c>
      <c r="U25" s="82">
        <v>0</v>
      </c>
      <c r="V25" s="48">
        <v>0</v>
      </c>
      <c r="W25" s="30">
        <f t="shared" si="1"/>
        <v>34.699999999999989</v>
      </c>
      <c r="X25" s="6">
        <f t="shared" si="2"/>
        <v>7936.2181914940447</v>
      </c>
      <c r="Y25" s="4">
        <f t="shared" si="3"/>
        <v>0</v>
      </c>
      <c r="Z25" s="126">
        <f t="shared" si="10"/>
        <v>0</v>
      </c>
      <c r="AA25" s="5">
        <v>0</v>
      </c>
      <c r="AB25" s="114">
        <f t="shared" si="4"/>
        <v>0</v>
      </c>
    </row>
    <row r="26" spans="1:28">
      <c r="A26" s="1" t="s">
        <v>222</v>
      </c>
      <c r="B26" s="49">
        <v>8.2100000000000009</v>
      </c>
      <c r="C26" s="48">
        <v>14674.783120648728</v>
      </c>
      <c r="D26" s="82">
        <v>0</v>
      </c>
      <c r="E26" s="48">
        <v>0</v>
      </c>
      <c r="F26" s="49">
        <v>0</v>
      </c>
      <c r="G26" s="48">
        <v>0</v>
      </c>
      <c r="H26" s="49">
        <v>0</v>
      </c>
      <c r="I26" s="48">
        <v>0</v>
      </c>
      <c r="J26" s="63">
        <f t="shared" si="5"/>
        <v>0</v>
      </c>
      <c r="K26" s="124">
        <f t="shared" si="5"/>
        <v>0</v>
      </c>
      <c r="L26" s="82">
        <f t="shared" si="0"/>
        <v>8.2100000000000009</v>
      </c>
      <c r="M26" s="6">
        <f t="shared" si="0"/>
        <v>14674.783120648728</v>
      </c>
      <c r="N26" s="48">
        <f t="shared" si="6"/>
        <v>1787.4279075089801</v>
      </c>
      <c r="O26" s="48">
        <v>0</v>
      </c>
      <c r="P26" s="48">
        <f t="shared" si="7"/>
        <v>0</v>
      </c>
      <c r="Q26" s="49">
        <v>0</v>
      </c>
      <c r="R26" s="48">
        <f t="shared" si="8"/>
        <v>0</v>
      </c>
      <c r="S26" s="76">
        <f t="shared" si="9"/>
        <v>0</v>
      </c>
      <c r="T26" s="77">
        <f t="shared" si="9"/>
        <v>0</v>
      </c>
      <c r="U26" s="82">
        <v>0</v>
      </c>
      <c r="V26" s="48">
        <v>0</v>
      </c>
      <c r="W26" s="30">
        <f t="shared" si="1"/>
        <v>8.2100000000000009</v>
      </c>
      <c r="X26" s="6">
        <f t="shared" si="2"/>
        <v>14674.783120648728</v>
      </c>
      <c r="Y26" s="4">
        <f t="shared" si="3"/>
        <v>0</v>
      </c>
      <c r="Z26" s="126">
        <f t="shared" si="10"/>
        <v>0</v>
      </c>
      <c r="AA26" s="5">
        <v>0</v>
      </c>
      <c r="AB26" s="114">
        <f t="shared" si="4"/>
        <v>0</v>
      </c>
    </row>
    <row r="27" spans="1:28">
      <c r="A27" s="1" t="s">
        <v>223</v>
      </c>
      <c r="B27" s="49">
        <v>7.63</v>
      </c>
      <c r="C27" s="48">
        <v>145384.46567175654</v>
      </c>
      <c r="D27" s="82">
        <v>0</v>
      </c>
      <c r="E27" s="48">
        <v>0</v>
      </c>
      <c r="F27" s="49">
        <v>0</v>
      </c>
      <c r="G27" s="48">
        <v>0</v>
      </c>
      <c r="H27" s="49">
        <v>0</v>
      </c>
      <c r="I27" s="48">
        <v>0</v>
      </c>
      <c r="J27" s="63">
        <f t="shared" si="5"/>
        <v>0</v>
      </c>
      <c r="K27" s="124">
        <f t="shared" si="5"/>
        <v>0</v>
      </c>
      <c r="L27" s="82">
        <f t="shared" si="0"/>
        <v>7.63</v>
      </c>
      <c r="M27" s="6">
        <f t="shared" si="0"/>
        <v>145384.46567175654</v>
      </c>
      <c r="N27" s="48">
        <f t="shared" si="6"/>
        <v>19054.320533650924</v>
      </c>
      <c r="O27" s="48">
        <v>0</v>
      </c>
      <c r="P27" s="48">
        <f t="shared" si="7"/>
        <v>0</v>
      </c>
      <c r="Q27" s="49">
        <v>0</v>
      </c>
      <c r="R27" s="48">
        <f t="shared" si="8"/>
        <v>0</v>
      </c>
      <c r="S27" s="76">
        <f t="shared" si="9"/>
        <v>0</v>
      </c>
      <c r="T27" s="77">
        <f t="shared" si="9"/>
        <v>0</v>
      </c>
      <c r="U27" s="82">
        <v>0</v>
      </c>
      <c r="V27" s="48">
        <v>0</v>
      </c>
      <c r="W27" s="30">
        <f t="shared" si="1"/>
        <v>7.63</v>
      </c>
      <c r="X27" s="6">
        <f t="shared" si="2"/>
        <v>145384.46567175654</v>
      </c>
      <c r="Y27" s="4">
        <f t="shared" si="3"/>
        <v>0</v>
      </c>
      <c r="Z27" s="126">
        <f t="shared" si="10"/>
        <v>0</v>
      </c>
      <c r="AA27" s="5">
        <v>0</v>
      </c>
      <c r="AB27" s="114">
        <f t="shared" si="4"/>
        <v>0</v>
      </c>
    </row>
    <row r="28" spans="1:28">
      <c r="A28" s="1" t="s">
        <v>224</v>
      </c>
      <c r="B28" s="49">
        <f>11.25+1801.595</f>
        <v>1812.845</v>
      </c>
      <c r="C28" s="48">
        <f>2486.54097803446+504446.956743538</f>
        <v>506933.49772157241</v>
      </c>
      <c r="D28" s="82">
        <v>0</v>
      </c>
      <c r="E28" s="48">
        <v>0</v>
      </c>
      <c r="F28" s="49">
        <v>0</v>
      </c>
      <c r="G28" s="48">
        <v>0</v>
      </c>
      <c r="H28" s="49">
        <v>0</v>
      </c>
      <c r="I28" s="48">
        <v>0</v>
      </c>
      <c r="J28" s="63">
        <f t="shared" si="5"/>
        <v>0</v>
      </c>
      <c r="K28" s="124">
        <f t="shared" si="5"/>
        <v>0</v>
      </c>
      <c r="L28" s="82">
        <f t="shared" si="0"/>
        <v>1812.845</v>
      </c>
      <c r="M28" s="6">
        <f t="shared" si="0"/>
        <v>506933.49772157241</v>
      </c>
      <c r="N28" s="48">
        <f t="shared" si="6"/>
        <v>279.63422009138804</v>
      </c>
      <c r="O28" s="48">
        <v>0</v>
      </c>
      <c r="P28" s="48">
        <f t="shared" si="7"/>
        <v>0</v>
      </c>
      <c r="Q28" s="49">
        <v>1701.45</v>
      </c>
      <c r="R28" s="48">
        <f t="shared" si="8"/>
        <v>475783.6437744922</v>
      </c>
      <c r="S28" s="76">
        <f t="shared" si="9"/>
        <v>1701.45</v>
      </c>
      <c r="T28" s="77">
        <f t="shared" si="9"/>
        <v>475783.6437744922</v>
      </c>
      <c r="U28" s="82">
        <v>10</v>
      </c>
      <c r="V28" s="48">
        <v>3000</v>
      </c>
      <c r="W28" s="30">
        <f t="shared" si="1"/>
        <v>101.39499999999998</v>
      </c>
      <c r="X28" s="6">
        <f t="shared" si="2"/>
        <v>28353.511746166285</v>
      </c>
      <c r="Y28" s="4">
        <f t="shared" si="3"/>
        <v>203.65779908606783</v>
      </c>
      <c r="Z28" s="126">
        <f t="shared" si="10"/>
        <v>6.7885933028689269E-2</v>
      </c>
      <c r="AA28" s="5">
        <v>0</v>
      </c>
      <c r="AB28" s="114">
        <f t="shared" si="4"/>
        <v>6.7885933028689269E-2</v>
      </c>
    </row>
    <row r="29" spans="1:28">
      <c r="A29" s="1" t="s">
        <v>225</v>
      </c>
      <c r="B29" s="49">
        <v>6.1</v>
      </c>
      <c r="C29" s="48">
        <v>12845.709665429315</v>
      </c>
      <c r="D29" s="82">
        <v>0</v>
      </c>
      <c r="E29" s="48">
        <v>0</v>
      </c>
      <c r="F29" s="49">
        <v>0</v>
      </c>
      <c r="G29" s="48">
        <v>0</v>
      </c>
      <c r="H29" s="49">
        <v>0</v>
      </c>
      <c r="I29" s="48">
        <v>0</v>
      </c>
      <c r="J29" s="63">
        <f t="shared" si="5"/>
        <v>0</v>
      </c>
      <c r="K29" s="124">
        <f t="shared" si="5"/>
        <v>0</v>
      </c>
      <c r="L29" s="82">
        <f t="shared" si="0"/>
        <v>6.1</v>
      </c>
      <c r="M29" s="6">
        <f t="shared" si="0"/>
        <v>12845.709665429315</v>
      </c>
      <c r="N29" s="48">
        <f t="shared" si="6"/>
        <v>2105.8540435130026</v>
      </c>
      <c r="O29" s="48">
        <v>0</v>
      </c>
      <c r="P29" s="48">
        <f t="shared" si="7"/>
        <v>0</v>
      </c>
      <c r="Q29" s="49">
        <v>0</v>
      </c>
      <c r="R29" s="48">
        <f t="shared" si="8"/>
        <v>0</v>
      </c>
      <c r="S29" s="76">
        <f t="shared" si="9"/>
        <v>0</v>
      </c>
      <c r="T29" s="77">
        <f t="shared" si="9"/>
        <v>0</v>
      </c>
      <c r="U29" s="82">
        <v>6.1</v>
      </c>
      <c r="V29" s="48">
        <v>18300</v>
      </c>
      <c r="W29" s="30">
        <f t="shared" si="1"/>
        <v>0</v>
      </c>
      <c r="X29" s="6">
        <f t="shared" si="2"/>
        <v>0</v>
      </c>
      <c r="Y29" s="4">
        <f t="shared" si="3"/>
        <v>5454.2903345706854</v>
      </c>
      <c r="Z29" s="126">
        <f t="shared" si="10"/>
        <v>0.29804865216233256</v>
      </c>
      <c r="AA29" s="5">
        <v>0</v>
      </c>
      <c r="AB29" s="114">
        <f t="shared" si="4"/>
        <v>0.29804865216233256</v>
      </c>
    </row>
    <row r="30" spans="1:28">
      <c r="A30" s="1" t="s">
        <v>226</v>
      </c>
      <c r="B30" s="49">
        <f>1276.12+614.74</f>
        <v>1890.86</v>
      </c>
      <c r="C30" s="48">
        <f>446641.811846649+193643.065842844</f>
        <v>640284.87768949301</v>
      </c>
      <c r="D30" s="82">
        <v>0</v>
      </c>
      <c r="E30" s="48">
        <v>0</v>
      </c>
      <c r="F30" s="49">
        <v>0</v>
      </c>
      <c r="G30" s="48">
        <v>0</v>
      </c>
      <c r="H30" s="49">
        <v>0</v>
      </c>
      <c r="I30" s="48">
        <v>0</v>
      </c>
      <c r="J30" s="63">
        <f t="shared" si="5"/>
        <v>0</v>
      </c>
      <c r="K30" s="124">
        <f t="shared" si="5"/>
        <v>0</v>
      </c>
      <c r="L30" s="82">
        <f t="shared" si="0"/>
        <v>1890.86</v>
      </c>
      <c r="M30" s="6">
        <f t="shared" si="0"/>
        <v>640284.87768949301</v>
      </c>
      <c r="N30" s="48">
        <f t="shared" si="6"/>
        <v>338.62098605369675</v>
      </c>
      <c r="O30" s="48">
        <v>0</v>
      </c>
      <c r="P30" s="48">
        <f t="shared" si="7"/>
        <v>0</v>
      </c>
      <c r="Q30" s="49">
        <v>0</v>
      </c>
      <c r="R30" s="48">
        <f t="shared" si="8"/>
        <v>0</v>
      </c>
      <c r="S30" s="76">
        <f t="shared" si="9"/>
        <v>0</v>
      </c>
      <c r="T30" s="77">
        <f t="shared" si="9"/>
        <v>0</v>
      </c>
      <c r="U30" s="82">
        <v>612.64</v>
      </c>
      <c r="V30" s="48">
        <v>214424</v>
      </c>
      <c r="W30" s="30">
        <f>L30-U30-Q30</f>
        <v>1278.2199999999998</v>
      </c>
      <c r="X30" s="6">
        <f t="shared" si="2"/>
        <v>432832.1167935562</v>
      </c>
      <c r="Y30" s="4">
        <f t="shared" si="3"/>
        <v>6971.2391040631337</v>
      </c>
      <c r="Z30" s="126">
        <f t="shared" si="10"/>
        <v>3.2511468418008872E-2</v>
      </c>
      <c r="AA30" s="5">
        <v>4.2126210852881508E-7</v>
      </c>
      <c r="AB30" s="114">
        <f t="shared" si="4"/>
        <v>3.2511047155900342E-2</v>
      </c>
    </row>
    <row r="31" spans="1:28">
      <c r="A31" s="1" t="s">
        <v>227</v>
      </c>
      <c r="B31" s="49">
        <v>8.3000000000000007</v>
      </c>
      <c r="C31" s="48">
        <v>20750.154506403589</v>
      </c>
      <c r="D31" s="82">
        <v>0</v>
      </c>
      <c r="E31" s="48">
        <v>0</v>
      </c>
      <c r="F31" s="49">
        <v>0</v>
      </c>
      <c r="G31" s="48">
        <v>0</v>
      </c>
      <c r="H31" s="49">
        <v>0</v>
      </c>
      <c r="I31" s="48">
        <v>0</v>
      </c>
      <c r="J31" s="63">
        <f t="shared" si="5"/>
        <v>0</v>
      </c>
      <c r="K31" s="124">
        <f t="shared" si="5"/>
        <v>0</v>
      </c>
      <c r="L31" s="82">
        <f t="shared" si="0"/>
        <v>8.3000000000000007</v>
      </c>
      <c r="M31" s="6">
        <f t="shared" si="0"/>
        <v>20750.154506403589</v>
      </c>
      <c r="N31" s="48">
        <f t="shared" si="6"/>
        <v>2500.0186152293477</v>
      </c>
      <c r="O31" s="48">
        <v>0</v>
      </c>
      <c r="P31" s="48">
        <f t="shared" si="7"/>
        <v>0</v>
      </c>
      <c r="Q31" s="49">
        <v>0</v>
      </c>
      <c r="R31" s="48">
        <f t="shared" si="8"/>
        <v>0</v>
      </c>
      <c r="S31" s="76">
        <f t="shared" si="9"/>
        <v>0</v>
      </c>
      <c r="T31" s="77">
        <f t="shared" si="9"/>
        <v>0</v>
      </c>
      <c r="U31" s="82">
        <v>0</v>
      </c>
      <c r="V31" s="48">
        <v>0</v>
      </c>
      <c r="W31" s="30">
        <f t="shared" si="1"/>
        <v>8.3000000000000007</v>
      </c>
      <c r="X31" s="6">
        <f t="shared" si="2"/>
        <v>20750.154506403589</v>
      </c>
      <c r="Y31" s="4">
        <f t="shared" si="3"/>
        <v>0</v>
      </c>
      <c r="Z31" s="126">
        <f t="shared" si="10"/>
        <v>0</v>
      </c>
      <c r="AA31" s="5">
        <v>0</v>
      </c>
      <c r="AB31" s="114">
        <f t="shared" si="4"/>
        <v>0</v>
      </c>
    </row>
    <row r="32" spans="1:28">
      <c r="A32" s="1" t="s">
        <v>228</v>
      </c>
      <c r="B32" s="49">
        <v>27.28</v>
      </c>
      <c r="C32" s="48">
        <v>7769.1499546643427</v>
      </c>
      <c r="D32" s="82">
        <v>0</v>
      </c>
      <c r="E32" s="48">
        <v>0</v>
      </c>
      <c r="F32" s="49">
        <v>0</v>
      </c>
      <c r="G32" s="48">
        <v>0</v>
      </c>
      <c r="H32" s="49">
        <v>0</v>
      </c>
      <c r="I32" s="48">
        <v>0</v>
      </c>
      <c r="J32" s="63">
        <f t="shared" si="5"/>
        <v>0</v>
      </c>
      <c r="K32" s="124">
        <f t="shared" si="5"/>
        <v>0</v>
      </c>
      <c r="L32" s="82">
        <f t="shared" si="0"/>
        <v>27.28</v>
      </c>
      <c r="M32" s="6">
        <f t="shared" si="0"/>
        <v>7769.1499546643427</v>
      </c>
      <c r="N32" s="48">
        <f t="shared" si="6"/>
        <v>284.79288690118557</v>
      </c>
      <c r="O32" s="48">
        <v>0</v>
      </c>
      <c r="P32" s="48">
        <f t="shared" si="7"/>
        <v>0</v>
      </c>
      <c r="Q32" s="49">
        <v>0</v>
      </c>
      <c r="R32" s="48">
        <f t="shared" si="8"/>
        <v>0</v>
      </c>
      <c r="S32" s="76">
        <f t="shared" si="9"/>
        <v>0</v>
      </c>
      <c r="T32" s="77">
        <f t="shared" si="9"/>
        <v>0</v>
      </c>
      <c r="U32" s="82">
        <v>27.28</v>
      </c>
      <c r="V32" s="48">
        <v>10912</v>
      </c>
      <c r="W32" s="30">
        <f t="shared" si="1"/>
        <v>0</v>
      </c>
      <c r="X32" s="6">
        <f t="shared" si="2"/>
        <v>0</v>
      </c>
      <c r="Y32" s="4">
        <f t="shared" si="3"/>
        <v>3142.8500453356573</v>
      </c>
      <c r="Z32" s="126">
        <f t="shared" si="10"/>
        <v>0.28801778274703604</v>
      </c>
      <c r="AA32" s="5">
        <v>0.28801778274703477</v>
      </c>
      <c r="AB32" s="114">
        <f t="shared" si="4"/>
        <v>1.27675647831893E-15</v>
      </c>
    </row>
    <row r="33" spans="1:29">
      <c r="A33" s="1" t="s">
        <v>229</v>
      </c>
      <c r="B33" s="49">
        <f>1297.125+1470.67</f>
        <v>2767.7950000000001</v>
      </c>
      <c r="C33" s="48">
        <f>577805.221776376+617681.4</f>
        <v>1195486.6217763759</v>
      </c>
      <c r="D33" s="82">
        <v>0</v>
      </c>
      <c r="E33" s="48">
        <v>0</v>
      </c>
      <c r="F33" s="49">
        <v>0</v>
      </c>
      <c r="G33" s="48">
        <v>0</v>
      </c>
      <c r="H33" s="49">
        <v>0</v>
      </c>
      <c r="I33" s="48">
        <v>0</v>
      </c>
      <c r="J33" s="63">
        <f t="shared" si="5"/>
        <v>0</v>
      </c>
      <c r="K33" s="124">
        <f t="shared" si="5"/>
        <v>0</v>
      </c>
      <c r="L33" s="82">
        <f t="shared" si="0"/>
        <v>2767.7950000000001</v>
      </c>
      <c r="M33" s="6">
        <f t="shared" si="0"/>
        <v>1195486.6217763759</v>
      </c>
      <c r="N33" s="48">
        <f t="shared" si="6"/>
        <v>431.92744469022307</v>
      </c>
      <c r="O33" s="48">
        <v>0</v>
      </c>
      <c r="P33" s="48">
        <f t="shared" si="7"/>
        <v>0</v>
      </c>
      <c r="Q33" s="49">
        <v>2700.06</v>
      </c>
      <c r="R33" s="48">
        <f t="shared" si="8"/>
        <v>1166230.0163102837</v>
      </c>
      <c r="S33" s="76">
        <f t="shared" si="9"/>
        <v>2700.06</v>
      </c>
      <c r="T33" s="77">
        <f t="shared" si="9"/>
        <v>1166230.0163102837</v>
      </c>
      <c r="U33" s="82">
        <v>0</v>
      </c>
      <c r="V33" s="48">
        <v>0</v>
      </c>
      <c r="W33" s="30">
        <f t="shared" si="1"/>
        <v>67.735000000000127</v>
      </c>
      <c r="X33" s="6">
        <f t="shared" si="2"/>
        <v>29256.605466092315</v>
      </c>
      <c r="Y33" s="4">
        <f t="shared" si="3"/>
        <v>0</v>
      </c>
      <c r="Z33" s="126">
        <f t="shared" si="10"/>
        <v>0</v>
      </c>
      <c r="AA33" s="5">
        <v>1.0109585469788386E-2</v>
      </c>
      <c r="AB33" s="114">
        <f t="shared" si="4"/>
        <v>-1.0109585469788386E-2</v>
      </c>
    </row>
    <row r="34" spans="1:29">
      <c r="A34" s="1" t="s">
        <v>230</v>
      </c>
      <c r="B34" s="49">
        <f>281.79+5.42+1502.245</f>
        <v>1789.4549999999999</v>
      </c>
      <c r="C34" s="48">
        <f>10037.0605562732+266.10864283235+81043.594364685</f>
        <v>91346.763563790562</v>
      </c>
      <c r="D34" s="82">
        <v>0</v>
      </c>
      <c r="E34" s="48">
        <v>0</v>
      </c>
      <c r="F34" s="49">
        <v>0</v>
      </c>
      <c r="G34" s="48">
        <v>0</v>
      </c>
      <c r="H34" s="49">
        <v>0</v>
      </c>
      <c r="I34" s="48">
        <v>0</v>
      </c>
      <c r="J34" s="63">
        <f>+F34+H34</f>
        <v>0</v>
      </c>
      <c r="K34" s="124">
        <f>+G34+I34</f>
        <v>0</v>
      </c>
      <c r="L34" s="82">
        <f>+B34+D34+H34</f>
        <v>1789.4549999999999</v>
      </c>
      <c r="M34" s="6">
        <f>+C34+E34+I34</f>
        <v>91346.763563790562</v>
      </c>
      <c r="N34" s="48">
        <f>M34/L34</f>
        <v>51.047253808444786</v>
      </c>
      <c r="O34" s="48">
        <v>0</v>
      </c>
      <c r="P34" s="48">
        <f>+O34*N34</f>
        <v>0</v>
      </c>
      <c r="Q34" s="49">
        <v>119.10000000000036</v>
      </c>
      <c r="R34" s="48">
        <f>Q34*N34</f>
        <v>6079.7279285857931</v>
      </c>
      <c r="S34" s="76">
        <f>+O34+Q34</f>
        <v>119.10000000000036</v>
      </c>
      <c r="T34" s="77">
        <f>+P34+R34</f>
        <v>6079.7279285857931</v>
      </c>
      <c r="U34" s="82">
        <v>279.63</v>
      </c>
      <c r="V34" s="48">
        <v>13981.5</v>
      </c>
      <c r="W34" s="30">
        <f>L34-U34-Q34</f>
        <v>1390.7249999999995</v>
      </c>
      <c r="X34" s="6">
        <f t="shared" si="2"/>
        <v>70992.692052749349</v>
      </c>
      <c r="Y34" s="4">
        <f>+X34+V34+R34-M34</f>
        <v>-292.84358245541807</v>
      </c>
      <c r="Z34" s="126">
        <f t="shared" si="10"/>
        <v>0</v>
      </c>
      <c r="AA34" s="5">
        <v>0.10952492197932831</v>
      </c>
      <c r="AB34" s="114">
        <f>Z34-AA34</f>
        <v>-0.10952492197932831</v>
      </c>
      <c r="AC34" s="1">
        <v>71735.253499222395</v>
      </c>
    </row>
    <row r="35" spans="1:29">
      <c r="A35" s="1" t="s">
        <v>231</v>
      </c>
      <c r="B35" s="49">
        <v>789.15</v>
      </c>
      <c r="C35" s="48">
        <v>366397.98064590531</v>
      </c>
      <c r="D35" s="82">
        <v>0</v>
      </c>
      <c r="E35" s="48">
        <v>0</v>
      </c>
      <c r="F35" s="49">
        <v>0</v>
      </c>
      <c r="G35" s="48">
        <v>0</v>
      </c>
      <c r="H35" s="49">
        <v>0</v>
      </c>
      <c r="I35" s="48">
        <v>0</v>
      </c>
      <c r="J35" s="63">
        <f t="shared" si="5"/>
        <v>0</v>
      </c>
      <c r="K35" s="124">
        <f t="shared" si="5"/>
        <v>0</v>
      </c>
      <c r="L35" s="82">
        <f t="shared" si="0"/>
        <v>789.15</v>
      </c>
      <c r="M35" s="6">
        <f t="shared" si="0"/>
        <v>366397.98064590531</v>
      </c>
      <c r="N35" s="48">
        <f t="shared" si="6"/>
        <v>464.29446955066248</v>
      </c>
      <c r="O35" s="48">
        <v>0</v>
      </c>
      <c r="P35" s="48">
        <f t="shared" si="7"/>
        <v>0</v>
      </c>
      <c r="Q35" s="49">
        <v>751.22</v>
      </c>
      <c r="R35" s="48">
        <f t="shared" si="8"/>
        <v>348787.29141584871</v>
      </c>
      <c r="S35" s="76">
        <f t="shared" si="9"/>
        <v>751.22</v>
      </c>
      <c r="T35" s="77">
        <f t="shared" si="9"/>
        <v>348787.29141584871</v>
      </c>
      <c r="U35" s="82">
        <v>2.67</v>
      </c>
      <c r="V35" s="48">
        <v>1335</v>
      </c>
      <c r="W35" s="30">
        <f t="shared" si="1"/>
        <v>35.259999999999991</v>
      </c>
      <c r="X35" s="6">
        <f t="shared" si="2"/>
        <v>16371.022996356354</v>
      </c>
      <c r="Y35" s="4">
        <f t="shared" si="3"/>
        <v>95.333766299765557</v>
      </c>
      <c r="Z35" s="126">
        <f t="shared" si="10"/>
        <v>7.1411060898700793E-2</v>
      </c>
      <c r="AA35" s="5">
        <v>7.1411060898674966E-2</v>
      </c>
      <c r="AB35" s="114">
        <f t="shared" si="4"/>
        <v>2.5826563110342704E-14</v>
      </c>
    </row>
    <row r="36" spans="1:29">
      <c r="A36" s="1" t="s">
        <v>232</v>
      </c>
      <c r="B36" s="49">
        <v>11.53</v>
      </c>
      <c r="C36" s="48">
        <v>58803</v>
      </c>
      <c r="D36" s="82">
        <v>0</v>
      </c>
      <c r="E36" s="48">
        <v>0</v>
      </c>
      <c r="F36" s="49">
        <v>0</v>
      </c>
      <c r="G36" s="48">
        <v>0</v>
      </c>
      <c r="H36" s="49">
        <v>0</v>
      </c>
      <c r="I36" s="48">
        <v>0</v>
      </c>
      <c r="J36" s="63">
        <f t="shared" si="5"/>
        <v>0</v>
      </c>
      <c r="K36" s="124">
        <f t="shared" si="5"/>
        <v>0</v>
      </c>
      <c r="L36" s="82">
        <f t="shared" si="0"/>
        <v>11.53</v>
      </c>
      <c r="M36" s="6">
        <f t="shared" si="0"/>
        <v>58803</v>
      </c>
      <c r="N36" s="48">
        <f t="shared" si="6"/>
        <v>5100</v>
      </c>
      <c r="O36" s="48">
        <v>0</v>
      </c>
      <c r="P36" s="48">
        <f t="shared" si="7"/>
        <v>0</v>
      </c>
      <c r="Q36" s="49">
        <v>0</v>
      </c>
      <c r="R36" s="48">
        <f t="shared" si="8"/>
        <v>0</v>
      </c>
      <c r="S36" s="76">
        <f t="shared" si="9"/>
        <v>0</v>
      </c>
      <c r="T36" s="77">
        <f t="shared" si="9"/>
        <v>0</v>
      </c>
      <c r="U36" s="82">
        <v>0</v>
      </c>
      <c r="V36" s="48">
        <v>0</v>
      </c>
      <c r="W36" s="30">
        <f t="shared" si="1"/>
        <v>11.53</v>
      </c>
      <c r="X36" s="6">
        <f t="shared" si="2"/>
        <v>58803</v>
      </c>
      <c r="Y36" s="4">
        <f t="shared" si="3"/>
        <v>0</v>
      </c>
      <c r="Z36" s="126">
        <f t="shared" si="10"/>
        <v>0</v>
      </c>
      <c r="AA36" s="5">
        <v>0</v>
      </c>
      <c r="AB36" s="114">
        <f t="shared" si="4"/>
        <v>0</v>
      </c>
    </row>
    <row r="37" spans="1:29">
      <c r="A37" s="1" t="s">
        <v>233</v>
      </c>
      <c r="B37" s="49">
        <v>813.82999999999993</v>
      </c>
      <c r="C37" s="48">
        <v>431329.60200656648</v>
      </c>
      <c r="D37" s="82">
        <v>0</v>
      </c>
      <c r="E37" s="48">
        <v>0</v>
      </c>
      <c r="F37" s="49">
        <v>0</v>
      </c>
      <c r="G37" s="48">
        <v>0</v>
      </c>
      <c r="H37" s="49">
        <v>0</v>
      </c>
      <c r="I37" s="48">
        <v>0</v>
      </c>
      <c r="J37" s="63">
        <f t="shared" si="5"/>
        <v>0</v>
      </c>
      <c r="K37" s="124">
        <f t="shared" si="5"/>
        <v>0</v>
      </c>
      <c r="L37" s="82">
        <f t="shared" si="0"/>
        <v>813.82999999999993</v>
      </c>
      <c r="M37" s="6">
        <f t="shared" si="0"/>
        <v>431329.60200656648</v>
      </c>
      <c r="N37" s="48">
        <f t="shared" si="6"/>
        <v>529.99963383822978</v>
      </c>
      <c r="O37" s="48">
        <v>0</v>
      </c>
      <c r="P37" s="48">
        <f t="shared" si="7"/>
        <v>0</v>
      </c>
      <c r="Q37" s="49">
        <v>751.06</v>
      </c>
      <c r="R37" s="48">
        <f t="shared" si="8"/>
        <v>398061.52499054081</v>
      </c>
      <c r="S37" s="76">
        <f t="shared" si="9"/>
        <v>751.06</v>
      </c>
      <c r="T37" s="77">
        <f t="shared" si="9"/>
        <v>398061.52499054081</v>
      </c>
      <c r="U37" s="82">
        <v>2.8</v>
      </c>
      <c r="V37" s="48">
        <v>1540</v>
      </c>
      <c r="W37" s="30">
        <f t="shared" si="1"/>
        <v>59.970000000000027</v>
      </c>
      <c r="X37" s="6">
        <f t="shared" si="2"/>
        <v>31784.078041278655</v>
      </c>
      <c r="Y37" s="4">
        <f t="shared" si="3"/>
        <v>56.001025252975523</v>
      </c>
      <c r="Z37" s="126">
        <f t="shared" si="10"/>
        <v>3.6364302112321771E-2</v>
      </c>
      <c r="AA37" s="5">
        <v>0</v>
      </c>
      <c r="AB37" s="114">
        <f t="shared" si="4"/>
        <v>3.6364302112321771E-2</v>
      </c>
    </row>
    <row r="38" spans="1:29">
      <c r="A38" s="1" t="s">
        <v>234</v>
      </c>
      <c r="B38" s="49">
        <v>7.41</v>
      </c>
      <c r="C38" s="48">
        <v>40755</v>
      </c>
      <c r="D38" s="82">
        <v>0</v>
      </c>
      <c r="E38" s="48">
        <v>0</v>
      </c>
      <c r="F38" s="49">
        <v>0</v>
      </c>
      <c r="G38" s="48">
        <v>0</v>
      </c>
      <c r="H38" s="49">
        <v>0</v>
      </c>
      <c r="I38" s="48">
        <v>0</v>
      </c>
      <c r="J38" s="63">
        <f t="shared" si="5"/>
        <v>0</v>
      </c>
      <c r="K38" s="124">
        <f t="shared" si="5"/>
        <v>0</v>
      </c>
      <c r="L38" s="82">
        <f t="shared" si="0"/>
        <v>7.41</v>
      </c>
      <c r="M38" s="6">
        <f t="shared" si="0"/>
        <v>40755</v>
      </c>
      <c r="N38" s="48">
        <f t="shared" si="6"/>
        <v>5500</v>
      </c>
      <c r="O38" s="48">
        <v>0</v>
      </c>
      <c r="P38" s="48">
        <f t="shared" si="7"/>
        <v>0</v>
      </c>
      <c r="Q38" s="49">
        <v>0</v>
      </c>
      <c r="R38" s="48">
        <f t="shared" si="8"/>
        <v>0</v>
      </c>
      <c r="S38" s="76">
        <f t="shared" si="9"/>
        <v>0</v>
      </c>
      <c r="T38" s="77">
        <f t="shared" si="9"/>
        <v>0</v>
      </c>
      <c r="U38" s="82">
        <v>0</v>
      </c>
      <c r="V38" s="48">
        <v>0</v>
      </c>
      <c r="W38" s="30">
        <f t="shared" si="1"/>
        <v>7.41</v>
      </c>
      <c r="X38" s="6">
        <f t="shared" si="2"/>
        <v>40755</v>
      </c>
      <c r="Y38" s="4">
        <f t="shared" si="3"/>
        <v>0</v>
      </c>
      <c r="Z38" s="126">
        <f t="shared" si="10"/>
        <v>0</v>
      </c>
      <c r="AA38" s="5">
        <v>0</v>
      </c>
      <c r="AB38" s="114">
        <f t="shared" si="4"/>
        <v>0</v>
      </c>
    </row>
    <row r="39" spans="1:29">
      <c r="A39" s="1" t="s">
        <v>235</v>
      </c>
      <c r="B39" s="49">
        <v>18.8</v>
      </c>
      <c r="C39" s="48">
        <v>76547.148334035795</v>
      </c>
      <c r="D39" s="82">
        <v>0</v>
      </c>
      <c r="E39" s="48">
        <v>0</v>
      </c>
      <c r="F39" s="49">
        <v>0</v>
      </c>
      <c r="G39" s="48">
        <v>0</v>
      </c>
      <c r="H39" s="49">
        <v>0</v>
      </c>
      <c r="I39" s="48">
        <v>0</v>
      </c>
      <c r="J39" s="63">
        <f t="shared" si="5"/>
        <v>0</v>
      </c>
      <c r="K39" s="124">
        <f t="shared" si="5"/>
        <v>0</v>
      </c>
      <c r="L39" s="82">
        <f t="shared" si="0"/>
        <v>18.8</v>
      </c>
      <c r="M39" s="6">
        <f t="shared" si="0"/>
        <v>76547.148334035795</v>
      </c>
      <c r="N39" s="48">
        <f t="shared" si="6"/>
        <v>4071.6568262784995</v>
      </c>
      <c r="O39" s="48">
        <v>0</v>
      </c>
      <c r="P39" s="48">
        <f t="shared" si="7"/>
        <v>0</v>
      </c>
      <c r="Q39" s="49">
        <v>0</v>
      </c>
      <c r="R39" s="48">
        <f t="shared" si="8"/>
        <v>0</v>
      </c>
      <c r="S39" s="76">
        <f t="shared" si="9"/>
        <v>0</v>
      </c>
      <c r="T39" s="77">
        <f t="shared" si="9"/>
        <v>0</v>
      </c>
      <c r="U39" s="82">
        <v>0</v>
      </c>
      <c r="V39" s="48">
        <v>0</v>
      </c>
      <c r="W39" s="30">
        <f t="shared" si="1"/>
        <v>18.8</v>
      </c>
      <c r="X39" s="6">
        <f t="shared" si="2"/>
        <v>76547.148334035795</v>
      </c>
      <c r="Y39" s="4">
        <f t="shared" si="3"/>
        <v>0</v>
      </c>
      <c r="Z39" s="126">
        <f t="shared" si="10"/>
        <v>0</v>
      </c>
      <c r="AA39" s="5">
        <v>0</v>
      </c>
      <c r="AB39" s="114">
        <f t="shared" si="4"/>
        <v>0</v>
      </c>
    </row>
    <row r="40" spans="1:29">
      <c r="A40" s="1" t="s">
        <v>236</v>
      </c>
      <c r="B40" s="49">
        <v>2363.08</v>
      </c>
      <c r="C40" s="48">
        <v>13705864</v>
      </c>
      <c r="D40" s="82">
        <v>0</v>
      </c>
      <c r="E40" s="48">
        <v>0</v>
      </c>
      <c r="F40" s="49">
        <v>0</v>
      </c>
      <c r="G40" s="48">
        <v>0</v>
      </c>
      <c r="H40" s="49">
        <v>0</v>
      </c>
      <c r="I40" s="48">
        <v>0</v>
      </c>
      <c r="J40" s="63">
        <f t="shared" si="5"/>
        <v>0</v>
      </c>
      <c r="K40" s="124">
        <f t="shared" si="5"/>
        <v>0</v>
      </c>
      <c r="L40" s="82">
        <f t="shared" si="0"/>
        <v>2363.08</v>
      </c>
      <c r="M40" s="6">
        <f t="shared" si="0"/>
        <v>13705864</v>
      </c>
      <c r="N40" s="48">
        <f t="shared" si="6"/>
        <v>5800</v>
      </c>
      <c r="O40" s="48">
        <v>0</v>
      </c>
      <c r="P40" s="48">
        <f t="shared" si="7"/>
        <v>0</v>
      </c>
      <c r="Q40" s="49">
        <v>2301.02</v>
      </c>
      <c r="R40" s="48">
        <f t="shared" si="8"/>
        <v>13345916</v>
      </c>
      <c r="S40" s="76">
        <f t="shared" si="9"/>
        <v>2301.02</v>
      </c>
      <c r="T40" s="77">
        <f t="shared" si="9"/>
        <v>13345916</v>
      </c>
      <c r="U40" s="82">
        <v>0</v>
      </c>
      <c r="V40" s="48">
        <v>0</v>
      </c>
      <c r="W40" s="30">
        <f t="shared" si="1"/>
        <v>62.059999999999945</v>
      </c>
      <c r="X40" s="6">
        <f t="shared" si="2"/>
        <v>359947.99999999971</v>
      </c>
      <c r="Y40" s="4">
        <f t="shared" si="3"/>
        <v>0</v>
      </c>
      <c r="Z40" s="126">
        <f t="shared" si="10"/>
        <v>0</v>
      </c>
      <c r="AA40" s="5">
        <v>0</v>
      </c>
      <c r="AB40" s="114">
        <f t="shared" si="4"/>
        <v>0</v>
      </c>
      <c r="AC40" s="29">
        <v>38883</v>
      </c>
    </row>
    <row r="41" spans="1:29">
      <c r="A41" s="1" t="s">
        <v>237</v>
      </c>
      <c r="B41" s="49">
        <f>1907.64+2030.53</f>
        <v>3938.17</v>
      </c>
      <c r="C41" s="48">
        <f>1144584+1137096.75534534</f>
        <v>2281680.7553453399</v>
      </c>
      <c r="D41" s="82">
        <v>0</v>
      </c>
      <c r="E41" s="48">
        <v>0</v>
      </c>
      <c r="F41" s="49">
        <v>0</v>
      </c>
      <c r="G41" s="48">
        <v>0</v>
      </c>
      <c r="H41" s="49">
        <v>0</v>
      </c>
      <c r="I41" s="48">
        <v>0</v>
      </c>
      <c r="J41" s="63">
        <f t="shared" si="5"/>
        <v>0</v>
      </c>
      <c r="K41" s="124">
        <f t="shared" si="5"/>
        <v>0</v>
      </c>
      <c r="L41" s="82">
        <f t="shared" si="0"/>
        <v>3938.17</v>
      </c>
      <c r="M41" s="6">
        <f t="shared" si="0"/>
        <v>2281680.7553453399</v>
      </c>
      <c r="N41" s="48">
        <f t="shared" si="6"/>
        <v>579.37589168200964</v>
      </c>
      <c r="O41" s="48">
        <v>0</v>
      </c>
      <c r="P41" s="48">
        <f t="shared" si="7"/>
        <v>0</v>
      </c>
      <c r="Q41" s="49">
        <v>2951.86</v>
      </c>
      <c r="R41" s="48">
        <f t="shared" si="8"/>
        <v>1710236.519620457</v>
      </c>
      <c r="S41" s="76">
        <f t="shared" si="9"/>
        <v>2951.86</v>
      </c>
      <c r="T41" s="77">
        <f t="shared" si="9"/>
        <v>1710236.519620457</v>
      </c>
      <c r="U41" s="82">
        <v>44.93</v>
      </c>
      <c r="V41" s="48">
        <v>26958</v>
      </c>
      <c r="W41" s="30">
        <f t="shared" si="1"/>
        <v>941.38000000000011</v>
      </c>
      <c r="X41" s="6">
        <f t="shared" si="2"/>
        <v>545412.87691161025</v>
      </c>
      <c r="Y41" s="4">
        <f t="shared" si="3"/>
        <v>926.64118672721088</v>
      </c>
      <c r="Z41" s="126">
        <f t="shared" si="10"/>
        <v>3.4373513863313707E-2</v>
      </c>
      <c r="AA41" s="5">
        <v>0</v>
      </c>
      <c r="AB41" s="114">
        <f t="shared" si="4"/>
        <v>3.4373513863313707E-2</v>
      </c>
    </row>
    <row r="42" spans="1:29">
      <c r="A42" s="1" t="s">
        <v>238</v>
      </c>
      <c r="B42" s="49">
        <v>940.71999999999991</v>
      </c>
      <c r="C42" s="48">
        <v>591376.16560536402</v>
      </c>
      <c r="D42" s="82">
        <v>0</v>
      </c>
      <c r="E42" s="48">
        <v>0</v>
      </c>
      <c r="F42" s="49">
        <v>0</v>
      </c>
      <c r="G42" s="48">
        <v>0</v>
      </c>
      <c r="H42" s="49">
        <v>0</v>
      </c>
      <c r="I42" s="48">
        <v>0</v>
      </c>
      <c r="J42" s="63">
        <f t="shared" si="5"/>
        <v>0</v>
      </c>
      <c r="K42" s="124">
        <f t="shared" si="5"/>
        <v>0</v>
      </c>
      <c r="L42" s="82">
        <f t="shared" si="0"/>
        <v>940.71999999999991</v>
      </c>
      <c r="M42" s="6">
        <f t="shared" si="0"/>
        <v>591376.16560536402</v>
      </c>
      <c r="N42" s="48">
        <f t="shared" si="6"/>
        <v>628.64206735836808</v>
      </c>
      <c r="O42" s="48">
        <v>0</v>
      </c>
      <c r="P42" s="48">
        <f t="shared" si="7"/>
        <v>0</v>
      </c>
      <c r="Q42" s="49">
        <v>900.19</v>
      </c>
      <c r="R42" s="48">
        <f t="shared" si="8"/>
        <v>565897.30261532939</v>
      </c>
      <c r="S42" s="76">
        <f t="shared" si="9"/>
        <v>900.19</v>
      </c>
      <c r="T42" s="77">
        <f t="shared" si="9"/>
        <v>565897.30261532939</v>
      </c>
      <c r="U42" s="82">
        <v>0</v>
      </c>
      <c r="V42" s="48">
        <v>0</v>
      </c>
      <c r="W42" s="30">
        <f t="shared" si="1"/>
        <v>40.529999999999859</v>
      </c>
      <c r="X42" s="6">
        <f t="shared" si="2"/>
        <v>25478.86299003457</v>
      </c>
      <c r="Y42" s="4">
        <f t="shared" si="3"/>
        <v>0</v>
      </c>
      <c r="Z42" s="126">
        <f t="shared" si="10"/>
        <v>0</v>
      </c>
      <c r="AA42" s="5">
        <v>0</v>
      </c>
      <c r="AB42" s="114">
        <f t="shared" si="4"/>
        <v>0</v>
      </c>
    </row>
    <row r="43" spans="1:29">
      <c r="A43" s="1" t="s">
        <v>239</v>
      </c>
      <c r="B43" s="49">
        <v>1107.8500000000001</v>
      </c>
      <c r="C43" s="48">
        <v>670024.71170312655</v>
      </c>
      <c r="D43" s="82">
        <v>0</v>
      </c>
      <c r="E43" s="48">
        <v>0</v>
      </c>
      <c r="F43" s="49">
        <v>0</v>
      </c>
      <c r="G43" s="48">
        <v>0</v>
      </c>
      <c r="H43" s="49">
        <v>0</v>
      </c>
      <c r="I43" s="48">
        <v>0</v>
      </c>
      <c r="J43" s="63">
        <f t="shared" si="5"/>
        <v>0</v>
      </c>
      <c r="K43" s="124">
        <f t="shared" si="5"/>
        <v>0</v>
      </c>
      <c r="L43" s="82">
        <f t="shared" si="0"/>
        <v>1107.8500000000001</v>
      </c>
      <c r="M43" s="6">
        <f t="shared" si="0"/>
        <v>670024.71170312655</v>
      </c>
      <c r="N43" s="48">
        <f t="shared" si="6"/>
        <v>604.79732066897725</v>
      </c>
      <c r="O43" s="48">
        <v>0</v>
      </c>
      <c r="P43" s="48">
        <f t="shared" si="7"/>
        <v>0</v>
      </c>
      <c r="Q43" s="49">
        <v>1050.19</v>
      </c>
      <c r="R43" s="48">
        <f t="shared" si="8"/>
        <v>635152.09819335327</v>
      </c>
      <c r="S43" s="76">
        <f t="shared" si="9"/>
        <v>1050.19</v>
      </c>
      <c r="T43" s="77">
        <f t="shared" si="9"/>
        <v>635152.09819335327</v>
      </c>
      <c r="U43" s="82">
        <v>26.83</v>
      </c>
      <c r="V43" s="48">
        <v>18781</v>
      </c>
      <c r="W43" s="30">
        <f t="shared" si="1"/>
        <v>30.830000000000155</v>
      </c>
      <c r="X43" s="6">
        <f t="shared" si="2"/>
        <v>18645.901396224661</v>
      </c>
      <c r="Y43" s="4">
        <f t="shared" si="3"/>
        <v>2554.2878864513477</v>
      </c>
      <c r="Z43" s="126">
        <f t="shared" si="10"/>
        <v>0.13600382761574717</v>
      </c>
      <c r="AA43" s="5">
        <v>0.13600382761574895</v>
      </c>
      <c r="AB43" s="114">
        <f t="shared" si="4"/>
        <v>-1.7763568394002505E-15</v>
      </c>
    </row>
    <row r="44" spans="1:29">
      <c r="A44" s="1" t="s">
        <v>240</v>
      </c>
      <c r="B44" s="49">
        <v>1886.8950000000002</v>
      </c>
      <c r="C44" s="48">
        <v>1377433.39966781</v>
      </c>
      <c r="D44" s="82">
        <v>0</v>
      </c>
      <c r="E44" s="48">
        <v>0</v>
      </c>
      <c r="F44" s="49">
        <v>0</v>
      </c>
      <c r="G44" s="48">
        <v>0</v>
      </c>
      <c r="H44" s="49">
        <v>0</v>
      </c>
      <c r="I44" s="48">
        <v>0</v>
      </c>
      <c r="J44" s="63">
        <f t="shared" si="5"/>
        <v>0</v>
      </c>
      <c r="K44" s="124">
        <f t="shared" si="5"/>
        <v>0</v>
      </c>
      <c r="L44" s="82">
        <f t="shared" si="0"/>
        <v>1886.8950000000002</v>
      </c>
      <c r="M44" s="6">
        <f t="shared" si="0"/>
        <v>1377433.39966781</v>
      </c>
      <c r="N44" s="48">
        <f t="shared" si="6"/>
        <v>730.00002632250857</v>
      </c>
      <c r="O44" s="48">
        <v>0</v>
      </c>
      <c r="P44" s="48">
        <f t="shared" si="7"/>
        <v>0</v>
      </c>
      <c r="Q44" s="49">
        <v>1800.24</v>
      </c>
      <c r="R44" s="48">
        <f t="shared" si="8"/>
        <v>1314175.247386833</v>
      </c>
      <c r="S44" s="76">
        <f t="shared" si="9"/>
        <v>1800.24</v>
      </c>
      <c r="T44" s="77">
        <f t="shared" si="9"/>
        <v>1314175.247386833</v>
      </c>
      <c r="U44" s="82">
        <v>37.94</v>
      </c>
      <c r="V44" s="48">
        <v>28455</v>
      </c>
      <c r="W44" s="30">
        <f t="shared" si="1"/>
        <v>48.715000000000146</v>
      </c>
      <c r="X44" s="6">
        <f t="shared" si="2"/>
        <v>35561.95128230111</v>
      </c>
      <c r="Y44" s="4">
        <f t="shared" si="3"/>
        <v>758.79900132422335</v>
      </c>
      <c r="Z44" s="126">
        <f t="shared" si="10"/>
        <v>2.666663156999555E-2</v>
      </c>
      <c r="AA44" s="5">
        <v>0</v>
      </c>
      <c r="AB44" s="114">
        <f t="shared" si="4"/>
        <v>2.666663156999555E-2</v>
      </c>
    </row>
    <row r="45" spans="1:29">
      <c r="A45" s="1" t="s">
        <v>241</v>
      </c>
      <c r="B45" s="49">
        <v>554.78000000000009</v>
      </c>
      <c r="C45" s="48">
        <v>354601.85524604272</v>
      </c>
      <c r="D45" s="82">
        <v>0</v>
      </c>
      <c r="E45" s="48">
        <v>0</v>
      </c>
      <c r="F45" s="49">
        <v>0</v>
      </c>
      <c r="G45" s="48">
        <v>0</v>
      </c>
      <c r="H45" s="49">
        <v>0</v>
      </c>
      <c r="I45" s="48">
        <v>0</v>
      </c>
      <c r="J45" s="63">
        <f t="shared" si="5"/>
        <v>0</v>
      </c>
      <c r="K45" s="124">
        <f t="shared" si="5"/>
        <v>0</v>
      </c>
      <c r="L45" s="82">
        <f t="shared" si="0"/>
        <v>554.78000000000009</v>
      </c>
      <c r="M45" s="6">
        <f t="shared" si="0"/>
        <v>354601.85524604272</v>
      </c>
      <c r="N45" s="48">
        <f t="shared" si="6"/>
        <v>639.17562862043087</v>
      </c>
      <c r="O45" s="48">
        <v>0</v>
      </c>
      <c r="P45" s="48">
        <f t="shared" si="7"/>
        <v>0</v>
      </c>
      <c r="Q45" s="49">
        <v>501.15</v>
      </c>
      <c r="R45" s="48">
        <f t="shared" si="8"/>
        <v>320322.86628312891</v>
      </c>
      <c r="S45" s="76">
        <f t="shared" si="9"/>
        <v>501.15</v>
      </c>
      <c r="T45" s="77">
        <f t="shared" si="9"/>
        <v>320322.86628312891</v>
      </c>
      <c r="U45" s="82">
        <v>24.61</v>
      </c>
      <c r="V45" s="48">
        <v>19688</v>
      </c>
      <c r="W45" s="30">
        <f t="shared" si="1"/>
        <v>29.020000000000095</v>
      </c>
      <c r="X45" s="6">
        <f t="shared" si="2"/>
        <v>18548.876742564964</v>
      </c>
      <c r="Y45" s="4">
        <f t="shared" si="3"/>
        <v>3957.8877796511515</v>
      </c>
      <c r="Z45" s="126">
        <f t="shared" si="10"/>
        <v>0.20103046422445914</v>
      </c>
      <c r="AA45" s="5">
        <v>0.20103046422446397</v>
      </c>
      <c r="AB45" s="114">
        <f t="shared" si="4"/>
        <v>-4.829470157119431E-15</v>
      </c>
    </row>
    <row r="46" spans="1:29">
      <c r="A46" s="1" t="s">
        <v>242</v>
      </c>
      <c r="B46" s="49">
        <v>4.95</v>
      </c>
      <c r="C46" s="48">
        <v>28568.561811505508</v>
      </c>
      <c r="D46" s="82">
        <v>0</v>
      </c>
      <c r="E46" s="48">
        <v>0</v>
      </c>
      <c r="F46" s="49">
        <v>0</v>
      </c>
      <c r="G46" s="48">
        <v>0</v>
      </c>
      <c r="H46" s="49">
        <v>0</v>
      </c>
      <c r="I46" s="48">
        <v>0</v>
      </c>
      <c r="J46" s="63">
        <f t="shared" si="5"/>
        <v>0</v>
      </c>
      <c r="K46" s="124">
        <f t="shared" si="5"/>
        <v>0</v>
      </c>
      <c r="L46" s="82">
        <f t="shared" si="0"/>
        <v>4.95</v>
      </c>
      <c r="M46" s="6">
        <f t="shared" si="0"/>
        <v>28568.561811505508</v>
      </c>
      <c r="N46" s="48">
        <f t="shared" si="6"/>
        <v>5771.4266285869708</v>
      </c>
      <c r="O46" s="48">
        <v>0</v>
      </c>
      <c r="P46" s="48">
        <f t="shared" si="7"/>
        <v>0</v>
      </c>
      <c r="Q46" s="49">
        <v>0</v>
      </c>
      <c r="R46" s="48">
        <f t="shared" si="8"/>
        <v>0</v>
      </c>
      <c r="S46" s="76">
        <f t="shared" si="9"/>
        <v>0</v>
      </c>
      <c r="T46" s="77">
        <f t="shared" si="9"/>
        <v>0</v>
      </c>
      <c r="U46" s="82">
        <v>0.53</v>
      </c>
      <c r="V46" s="48">
        <v>4240</v>
      </c>
      <c r="W46" s="30">
        <f t="shared" si="1"/>
        <v>4.42</v>
      </c>
      <c r="X46" s="6">
        <f t="shared" si="2"/>
        <v>25509.70569835441</v>
      </c>
      <c r="Y46" s="4">
        <f t="shared" si="3"/>
        <v>1181.1438868489022</v>
      </c>
      <c r="Z46" s="126">
        <f t="shared" si="10"/>
        <v>0.27857167142662786</v>
      </c>
      <c r="AA46" s="5">
        <v>0</v>
      </c>
      <c r="AB46" s="114">
        <f t="shared" si="4"/>
        <v>0.27857167142662786</v>
      </c>
    </row>
    <row r="47" spans="1:29">
      <c r="A47" s="1" t="s">
        <v>243</v>
      </c>
      <c r="B47" s="49">
        <v>5443.82</v>
      </c>
      <c r="C47" s="48">
        <v>4953876.3044951279</v>
      </c>
      <c r="D47" s="82">
        <v>0</v>
      </c>
      <c r="E47" s="48">
        <v>0</v>
      </c>
      <c r="F47" s="49">
        <v>0</v>
      </c>
      <c r="G47" s="48">
        <v>0</v>
      </c>
      <c r="H47" s="49">
        <v>0</v>
      </c>
      <c r="I47" s="48">
        <v>0</v>
      </c>
      <c r="J47" s="63">
        <f t="shared" si="5"/>
        <v>0</v>
      </c>
      <c r="K47" s="124">
        <f t="shared" si="5"/>
        <v>0</v>
      </c>
      <c r="L47" s="82">
        <f t="shared" si="0"/>
        <v>5443.82</v>
      </c>
      <c r="M47" s="6">
        <f t="shared" si="0"/>
        <v>4953876.3044951279</v>
      </c>
      <c r="N47" s="48">
        <f t="shared" si="6"/>
        <v>910.00001919518434</v>
      </c>
      <c r="O47" s="48">
        <v>0</v>
      </c>
      <c r="P47" s="48">
        <f t="shared" si="7"/>
        <v>0</v>
      </c>
      <c r="Q47" s="49">
        <v>4423.1200000000008</v>
      </c>
      <c r="R47" s="48">
        <f t="shared" si="8"/>
        <v>4025039.2849026043</v>
      </c>
      <c r="S47" s="76">
        <f t="shared" si="9"/>
        <v>4423.1200000000008</v>
      </c>
      <c r="T47" s="77">
        <f t="shared" si="9"/>
        <v>4025039.2849026043</v>
      </c>
      <c r="U47" s="82">
        <v>82.789999999999992</v>
      </c>
      <c r="V47" s="48">
        <v>74836</v>
      </c>
      <c r="W47" s="30">
        <f t="shared" si="1"/>
        <v>937.90999999999894</v>
      </c>
      <c r="X47" s="6">
        <f t="shared" si="2"/>
        <v>853498.11800335441</v>
      </c>
      <c r="Y47" s="4">
        <f t="shared" si="3"/>
        <v>-502.90158916916698</v>
      </c>
      <c r="Z47" s="126">
        <f t="shared" si="10"/>
        <v>0</v>
      </c>
      <c r="AA47" s="5">
        <v>3.3565871087281943E-2</v>
      </c>
      <c r="AB47" s="114">
        <f t="shared" si="4"/>
        <v>-3.3565871087281943E-2</v>
      </c>
    </row>
    <row r="48" spans="1:29">
      <c r="B48" s="49"/>
      <c r="C48" s="48"/>
      <c r="D48" s="82"/>
      <c r="E48" s="48"/>
      <c r="F48" s="48"/>
      <c r="G48" s="48"/>
      <c r="H48" s="48"/>
      <c r="I48" s="48"/>
      <c r="J48" s="49"/>
      <c r="K48" s="48"/>
      <c r="L48" s="82"/>
      <c r="M48" s="48"/>
      <c r="N48" s="48"/>
      <c r="O48" s="48"/>
      <c r="P48" s="48"/>
      <c r="Q48" s="48"/>
      <c r="R48" s="48"/>
      <c r="S48" s="49"/>
      <c r="T48" s="48"/>
      <c r="U48" s="82"/>
      <c r="V48" s="48"/>
      <c r="W48" s="82"/>
      <c r="X48" s="48"/>
      <c r="AA48" s="5"/>
    </row>
    <row r="49" spans="1:28" s="97" customFormat="1" ht="20.7" customHeight="1" thickBot="1">
      <c r="A49" s="127" t="s">
        <v>38</v>
      </c>
      <c r="B49" s="85">
        <f t="shared" ref="B49:M49" si="11">SUM(B10:B47)</f>
        <v>45517.49</v>
      </c>
      <c r="C49" s="86">
        <f t="shared" si="11"/>
        <v>30593811.121947542</v>
      </c>
      <c r="D49" s="85">
        <f t="shared" si="11"/>
        <v>0</v>
      </c>
      <c r="E49" s="86">
        <f t="shared" si="11"/>
        <v>0</v>
      </c>
      <c r="F49" s="85">
        <f t="shared" si="11"/>
        <v>0</v>
      </c>
      <c r="G49" s="86">
        <f t="shared" si="11"/>
        <v>0</v>
      </c>
      <c r="H49" s="85">
        <f t="shared" si="11"/>
        <v>481.26</v>
      </c>
      <c r="I49" s="86">
        <f t="shared" si="11"/>
        <v>336690.20453769574</v>
      </c>
      <c r="J49" s="85">
        <f t="shared" si="11"/>
        <v>481.26</v>
      </c>
      <c r="K49" s="86">
        <f t="shared" si="11"/>
        <v>336690.20453769574</v>
      </c>
      <c r="L49" s="85">
        <f t="shared" si="11"/>
        <v>45998.749999999993</v>
      </c>
      <c r="M49" s="86">
        <f t="shared" si="11"/>
        <v>30930501.326485239</v>
      </c>
      <c r="N49" s="128"/>
      <c r="O49" s="85">
        <f t="shared" ref="O49:X49" si="12">SUM(O10:O47)</f>
        <v>0</v>
      </c>
      <c r="P49" s="86">
        <f t="shared" si="12"/>
        <v>0</v>
      </c>
      <c r="Q49" s="85">
        <f t="shared" si="12"/>
        <v>23757.484000000004</v>
      </c>
      <c r="R49" s="86">
        <f t="shared" si="12"/>
        <v>25729158.064685747</v>
      </c>
      <c r="S49" s="85">
        <f t="shared" si="12"/>
        <v>23757.484000000004</v>
      </c>
      <c r="T49" s="86">
        <f t="shared" si="12"/>
        <v>25729158.064685747</v>
      </c>
      <c r="U49" s="85">
        <f t="shared" si="12"/>
        <v>15473.869999999986</v>
      </c>
      <c r="V49" s="86">
        <f t="shared" si="12"/>
        <v>2145519.5</v>
      </c>
      <c r="W49" s="85">
        <f t="shared" si="12"/>
        <v>6767.3960000000179</v>
      </c>
      <c r="X49" s="86">
        <f t="shared" si="12"/>
        <v>3552237.9445280726</v>
      </c>
      <c r="Y49" s="86">
        <f>SUM(Y10:Y48)</f>
        <v>496414.18272857851</v>
      </c>
      <c r="Z49" s="96">
        <f>IF(Y49&gt;0,(Y49/V49),0)</f>
        <v>0.23137248704967656</v>
      </c>
      <c r="AA49" s="96">
        <v>8.5530589826332118E-2</v>
      </c>
      <c r="AB49" s="96">
        <f>+Z49-AA49</f>
        <v>0.14584189722334445</v>
      </c>
    </row>
    <row r="50" spans="1:28" ht="14.4" thickTop="1">
      <c r="A50" s="1" t="str">
        <f>+A1</f>
        <v>Shree Jewellers Eximp Private Limited</v>
      </c>
      <c r="B50" s="49"/>
      <c r="C50" s="48"/>
      <c r="D50" s="82"/>
      <c r="E50" s="48"/>
      <c r="F50" s="48"/>
      <c r="G50" s="48"/>
      <c r="H50" s="48"/>
      <c r="I50" s="48"/>
      <c r="J50" s="49"/>
      <c r="K50" s="48"/>
      <c r="L50" s="82"/>
      <c r="M50" s="48"/>
      <c r="N50" s="48"/>
      <c r="O50" s="48"/>
      <c r="P50" s="48"/>
      <c r="Q50" s="48"/>
      <c r="R50" s="48"/>
      <c r="S50" s="49"/>
      <c r="T50" s="48"/>
      <c r="U50" s="82"/>
      <c r="V50" s="48"/>
      <c r="W50" s="82"/>
      <c r="X50" s="48"/>
    </row>
    <row r="51" spans="1:28">
      <c r="A51" s="1" t="str">
        <f>+A2</f>
        <v>3-6-354/1,2 &amp;18 Basheerbagh Branch</v>
      </c>
      <c r="B51" s="49"/>
      <c r="C51" s="48"/>
      <c r="D51" s="82"/>
      <c r="E51" s="48"/>
      <c r="F51" s="48"/>
      <c r="G51" s="48"/>
      <c r="H51" s="48"/>
      <c r="I51" s="48"/>
      <c r="J51" s="49"/>
      <c r="K51" s="48"/>
      <c r="L51" s="82"/>
      <c r="M51" s="48"/>
      <c r="N51" s="48"/>
      <c r="O51" s="48"/>
      <c r="P51" s="48"/>
      <c r="Q51" s="48"/>
      <c r="R51" s="48"/>
      <c r="S51" s="49"/>
      <c r="T51" s="48"/>
      <c r="U51" s="82"/>
      <c r="V51" s="48"/>
      <c r="W51" s="82"/>
      <c r="X51" s="48"/>
    </row>
    <row r="52" spans="1:28">
      <c r="A52" s="1" t="str">
        <f>+A3</f>
        <v>Hyderabad - 500029</v>
      </c>
      <c r="B52" s="49"/>
      <c r="C52" s="48"/>
      <c r="D52" s="82"/>
      <c r="E52" s="48"/>
      <c r="F52" s="48"/>
      <c r="G52" s="48"/>
      <c r="H52" s="48"/>
      <c r="I52" s="48"/>
      <c r="J52" s="49"/>
      <c r="K52" s="48"/>
      <c r="L52" s="82"/>
      <c r="M52" s="48"/>
      <c r="N52" s="48"/>
      <c r="O52" s="48"/>
      <c r="P52" s="48"/>
      <c r="Q52" s="48"/>
      <c r="R52" s="48"/>
      <c r="S52" s="49"/>
      <c r="T52" s="48"/>
      <c r="U52" s="82"/>
      <c r="V52" s="48"/>
      <c r="W52" s="82"/>
      <c r="X52" s="48" t="str">
        <f>+X2</f>
        <v>AY 2026-2027</v>
      </c>
    </row>
    <row r="53" spans="1:28">
      <c r="B53" s="49"/>
      <c r="C53" s="48"/>
      <c r="D53" s="82"/>
      <c r="E53" s="48"/>
      <c r="F53" s="48"/>
      <c r="G53" s="48"/>
      <c r="H53" s="48"/>
      <c r="I53" s="48"/>
      <c r="J53" s="49"/>
      <c r="K53" s="48"/>
      <c r="L53" s="82"/>
      <c r="M53" s="48"/>
      <c r="N53" s="48"/>
      <c r="O53" s="48"/>
      <c r="P53" s="48"/>
      <c r="Q53" s="48"/>
      <c r="R53" s="48"/>
      <c r="S53" s="49"/>
      <c r="T53" s="48"/>
      <c r="U53" s="82"/>
      <c r="V53" s="48"/>
      <c r="W53" s="82"/>
      <c r="X53" s="48"/>
    </row>
    <row r="54" spans="1:28">
      <c r="A54" s="92" t="s">
        <v>204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28"/>
    </row>
    <row r="55" spans="1:28">
      <c r="B55" s="49"/>
      <c r="C55" s="48"/>
      <c r="D55" s="82"/>
      <c r="E55" s="48"/>
      <c r="F55" s="48"/>
      <c r="G55" s="48"/>
      <c r="H55" s="48"/>
      <c r="I55" s="48"/>
      <c r="J55" s="49"/>
      <c r="K55" s="48"/>
      <c r="L55" s="82"/>
      <c r="M55" s="48"/>
      <c r="N55" s="48"/>
      <c r="O55" s="48"/>
      <c r="P55" s="48"/>
      <c r="Q55" s="48"/>
      <c r="R55" s="48"/>
      <c r="S55" s="49"/>
      <c r="T55" s="48"/>
      <c r="U55" s="82"/>
      <c r="V55" s="48"/>
      <c r="W55" s="82"/>
      <c r="X55" s="48"/>
    </row>
    <row r="56" spans="1:28" s="21" customFormat="1" ht="27.6">
      <c r="A56" s="9" t="s">
        <v>1</v>
      </c>
      <c r="B56" s="10" t="s">
        <v>2</v>
      </c>
      <c r="C56" s="10"/>
      <c r="D56" s="10" t="s">
        <v>3</v>
      </c>
      <c r="E56" s="10"/>
      <c r="F56" s="11" t="s">
        <v>4</v>
      </c>
      <c r="G56" s="12"/>
      <c r="H56" s="11" t="s">
        <v>5</v>
      </c>
      <c r="I56" s="12"/>
      <c r="J56" s="11" t="s">
        <v>6</v>
      </c>
      <c r="K56" s="12"/>
      <c r="L56" s="10" t="s">
        <v>7</v>
      </c>
      <c r="M56" s="10"/>
      <c r="N56" s="13" t="s">
        <v>8</v>
      </c>
      <c r="O56" s="11" t="s">
        <v>9</v>
      </c>
      <c r="P56" s="12"/>
      <c r="Q56" s="11" t="s">
        <v>10</v>
      </c>
      <c r="R56" s="12"/>
      <c r="S56" s="14" t="s">
        <v>11</v>
      </c>
      <c r="T56" s="15"/>
      <c r="U56" s="16" t="s">
        <v>12</v>
      </c>
      <c r="V56" s="17"/>
      <c r="W56" s="10" t="s">
        <v>13</v>
      </c>
      <c r="X56" s="10"/>
      <c r="Y56" s="18" t="s">
        <v>14</v>
      </c>
      <c r="Z56" s="20" t="s">
        <v>35</v>
      </c>
      <c r="AA56" s="20" t="s">
        <v>15</v>
      </c>
      <c r="AB56" s="20" t="s">
        <v>16</v>
      </c>
    </row>
    <row r="57" spans="1:28" s="21" customFormat="1" ht="27.6">
      <c r="A57" s="22">
        <v>1</v>
      </c>
      <c r="B57" s="23" t="s">
        <v>17</v>
      </c>
      <c r="C57" s="24" t="s">
        <v>18</v>
      </c>
      <c r="D57" s="23" t="s">
        <v>19</v>
      </c>
      <c r="E57" s="24" t="s">
        <v>20</v>
      </c>
      <c r="F57" s="23" t="s">
        <v>21</v>
      </c>
      <c r="G57" s="24" t="s">
        <v>22</v>
      </c>
      <c r="H57" s="23" t="s">
        <v>21</v>
      </c>
      <c r="I57" s="24" t="s">
        <v>22</v>
      </c>
      <c r="J57" s="23" t="s">
        <v>23</v>
      </c>
      <c r="K57" s="24" t="s">
        <v>24</v>
      </c>
      <c r="L57" s="25" t="s">
        <v>25</v>
      </c>
      <c r="M57" s="24" t="s">
        <v>26</v>
      </c>
      <c r="N57" s="13" t="s">
        <v>27</v>
      </c>
      <c r="O57" s="23" t="s">
        <v>21</v>
      </c>
      <c r="P57" s="24" t="s">
        <v>22</v>
      </c>
      <c r="Q57" s="23" t="s">
        <v>21</v>
      </c>
      <c r="R57" s="24" t="s">
        <v>22</v>
      </c>
      <c r="S57" s="23" t="s">
        <v>28</v>
      </c>
      <c r="T57" s="24" t="s">
        <v>29</v>
      </c>
      <c r="U57" s="23" t="s">
        <v>30</v>
      </c>
      <c r="V57" s="24" t="s">
        <v>31</v>
      </c>
      <c r="W57" s="23" t="s">
        <v>32</v>
      </c>
      <c r="X57" s="24" t="s">
        <v>33</v>
      </c>
      <c r="Y57" s="24" t="s">
        <v>34</v>
      </c>
      <c r="Z57" s="27"/>
      <c r="AA57" s="27"/>
      <c r="AB57" s="27"/>
    </row>
    <row r="58" spans="1:28">
      <c r="A58" s="28" t="s">
        <v>244</v>
      </c>
      <c r="B58" s="49"/>
      <c r="C58" s="48"/>
      <c r="D58" s="82"/>
      <c r="E58" s="48"/>
      <c r="F58" s="48"/>
      <c r="G58" s="48"/>
      <c r="H58" s="48"/>
      <c r="I58" s="48"/>
      <c r="J58" s="49"/>
      <c r="K58" s="48"/>
      <c r="L58" s="82"/>
      <c r="M58" s="48"/>
      <c r="N58" s="48"/>
      <c r="O58" s="48"/>
      <c r="P58" s="48"/>
      <c r="Q58" s="48"/>
      <c r="R58" s="48"/>
      <c r="S58" s="49"/>
      <c r="T58" s="48"/>
      <c r="U58" s="82"/>
      <c r="V58" s="48"/>
      <c r="W58" s="82"/>
      <c r="X58" s="48"/>
    </row>
    <row r="59" spans="1:28">
      <c r="B59" s="49"/>
      <c r="C59" s="48"/>
      <c r="D59" s="82"/>
      <c r="E59" s="48"/>
      <c r="F59" s="48"/>
      <c r="G59" s="48"/>
      <c r="H59" s="48"/>
      <c r="I59" s="48"/>
      <c r="J59" s="49"/>
      <c r="K59" s="48"/>
      <c r="L59" s="129"/>
      <c r="M59" s="130"/>
      <c r="N59" s="48"/>
      <c r="O59" s="48"/>
      <c r="P59" s="48"/>
      <c r="Q59" s="48"/>
      <c r="R59" s="48"/>
      <c r="S59" s="49"/>
      <c r="T59" s="48"/>
      <c r="U59" s="82"/>
      <c r="V59" s="48"/>
      <c r="W59" s="82"/>
      <c r="X59" s="130"/>
      <c r="Y59" s="131"/>
      <c r="Z59" s="126"/>
    </row>
    <row r="60" spans="1:28">
      <c r="A60" s="1" t="s">
        <v>245</v>
      </c>
      <c r="B60" s="49">
        <f>3737.12+516.29+62.69</f>
        <v>4316.0999999999995</v>
      </c>
      <c r="C60" s="48">
        <f>298568.706485832+57253.5383192313+4973.47770658996</f>
        <v>360795.72251165326</v>
      </c>
      <c r="D60" s="82">
        <v>0</v>
      </c>
      <c r="E60" s="48">
        <v>0</v>
      </c>
      <c r="F60" s="48">
        <v>0</v>
      </c>
      <c r="G60" s="48">
        <v>0</v>
      </c>
      <c r="H60" s="49">
        <v>0</v>
      </c>
      <c r="I60" s="48">
        <v>0</v>
      </c>
      <c r="J60" s="63">
        <f>+F60+H60</f>
        <v>0</v>
      </c>
      <c r="K60" s="124">
        <f>+G60+I60</f>
        <v>0</v>
      </c>
      <c r="L60" s="82">
        <f t="shared" ref="L60:M75" si="13">+B60+D60+H60</f>
        <v>4316.0999999999995</v>
      </c>
      <c r="M60" s="6">
        <f t="shared" si="13"/>
        <v>360795.72251165326</v>
      </c>
      <c r="N60" s="48">
        <f t="shared" ref="N60:N68" si="14">M60/L60</f>
        <v>83.592994256771931</v>
      </c>
      <c r="O60" s="49">
        <v>0</v>
      </c>
      <c r="P60" s="48">
        <f>+O60*N60</f>
        <v>0</v>
      </c>
      <c r="Q60" s="49">
        <v>2894.74</v>
      </c>
      <c r="R60" s="48">
        <f t="shared" ref="R60:R75" si="15">Q60*N60</f>
        <v>241979.98419484796</v>
      </c>
      <c r="S60" s="76">
        <f>+O60+Q60</f>
        <v>2894.74</v>
      </c>
      <c r="T60" s="77">
        <f>+P60+R60</f>
        <v>241979.98419484796</v>
      </c>
      <c r="U60" s="49">
        <v>27.36</v>
      </c>
      <c r="V60" s="48">
        <v>2736</v>
      </c>
      <c r="W60" s="30">
        <f t="shared" ref="W60:W75" si="16">L60-U60-Q60</f>
        <v>1394</v>
      </c>
      <c r="X60" s="6">
        <f t="shared" ref="X60:X68" si="17">W60*N60</f>
        <v>116528.63399394008</v>
      </c>
      <c r="Y60" s="4">
        <f t="shared" ref="Y60:Y75" si="18">+X60+V60+R60-M60</f>
        <v>448.8956771348021</v>
      </c>
      <c r="Z60" s="126">
        <f t="shared" ref="Z60:Z61" si="19">IF(Y60&gt;0,(Y60/V60),0)</f>
        <v>0.16407005743231071</v>
      </c>
      <c r="AA60" s="5">
        <v>0.20107273385432531</v>
      </c>
      <c r="AB60" s="114">
        <f t="shared" ref="AB60:AB75" si="20">Z60-AA60</f>
        <v>-3.7002676422014602E-2</v>
      </c>
    </row>
    <row r="61" spans="1:28">
      <c r="A61" s="1" t="s">
        <v>246</v>
      </c>
      <c r="B61" s="49">
        <v>432.54</v>
      </c>
      <c r="C61" s="48">
        <v>307443.55951967795</v>
      </c>
      <c r="D61" s="82">
        <v>0</v>
      </c>
      <c r="E61" s="48">
        <v>0</v>
      </c>
      <c r="F61" s="48">
        <v>0</v>
      </c>
      <c r="G61" s="48">
        <v>0</v>
      </c>
      <c r="H61" s="49">
        <v>0</v>
      </c>
      <c r="I61" s="48">
        <v>0</v>
      </c>
      <c r="J61" s="63">
        <f t="shared" ref="J61:K75" si="21">+F61+H61</f>
        <v>0</v>
      </c>
      <c r="K61" s="124">
        <f t="shared" si="21"/>
        <v>0</v>
      </c>
      <c r="L61" s="82">
        <f t="shared" si="13"/>
        <v>432.54</v>
      </c>
      <c r="M61" s="6">
        <f t="shared" si="13"/>
        <v>307443.55951967795</v>
      </c>
      <c r="N61" s="48">
        <f t="shared" si="14"/>
        <v>710.78642326646764</v>
      </c>
      <c r="O61" s="49">
        <v>0</v>
      </c>
      <c r="P61" s="48">
        <f t="shared" ref="P61:P75" si="22">+O61*N61</f>
        <v>0</v>
      </c>
      <c r="Q61" s="49">
        <v>401.21</v>
      </c>
      <c r="R61" s="48">
        <f t="shared" si="15"/>
        <v>285174.62087873946</v>
      </c>
      <c r="S61" s="76">
        <f t="shared" ref="S61:T75" si="23">+O61+Q61</f>
        <v>401.21</v>
      </c>
      <c r="T61" s="77">
        <f t="shared" si="23"/>
        <v>285174.62087873946</v>
      </c>
      <c r="U61" s="49">
        <v>0</v>
      </c>
      <c r="V61" s="48">
        <v>0</v>
      </c>
      <c r="W61" s="30">
        <f t="shared" si="16"/>
        <v>31.330000000000041</v>
      </c>
      <c r="X61" s="6">
        <f t="shared" si="17"/>
        <v>22268.938640938461</v>
      </c>
      <c r="Y61" s="4">
        <f t="shared" si="18"/>
        <v>0</v>
      </c>
      <c r="Z61" s="126">
        <f t="shared" si="19"/>
        <v>0</v>
      </c>
      <c r="AA61" s="5">
        <v>0</v>
      </c>
      <c r="AB61" s="114">
        <f t="shared" si="20"/>
        <v>0</v>
      </c>
    </row>
    <row r="62" spans="1:28">
      <c r="A62" s="1" t="s">
        <v>247</v>
      </c>
      <c r="B62" s="49">
        <v>12.299999999999999</v>
      </c>
      <c r="C62" s="48">
        <v>10297.038480918167</v>
      </c>
      <c r="D62" s="82">
        <v>0</v>
      </c>
      <c r="E62" s="48">
        <v>0</v>
      </c>
      <c r="F62" s="48">
        <v>0</v>
      </c>
      <c r="G62" s="48">
        <v>0</v>
      </c>
      <c r="H62" s="49">
        <v>0</v>
      </c>
      <c r="I62" s="48">
        <v>0</v>
      </c>
      <c r="J62" s="63">
        <f t="shared" si="21"/>
        <v>0</v>
      </c>
      <c r="K62" s="124">
        <f t="shared" si="21"/>
        <v>0</v>
      </c>
      <c r="L62" s="82">
        <f t="shared" si="13"/>
        <v>12.299999999999999</v>
      </c>
      <c r="M62" s="6">
        <f t="shared" si="13"/>
        <v>10297.038480918167</v>
      </c>
      <c r="N62" s="48">
        <f t="shared" si="14"/>
        <v>837.1576000746478</v>
      </c>
      <c r="O62" s="49">
        <v>0</v>
      </c>
      <c r="P62" s="48">
        <f t="shared" si="22"/>
        <v>0</v>
      </c>
      <c r="Q62" s="49">
        <v>0</v>
      </c>
      <c r="R62" s="48">
        <f t="shared" si="15"/>
        <v>0</v>
      </c>
      <c r="S62" s="76">
        <f t="shared" si="23"/>
        <v>0</v>
      </c>
      <c r="T62" s="77">
        <f t="shared" si="23"/>
        <v>0</v>
      </c>
      <c r="U62" s="49">
        <v>0</v>
      </c>
      <c r="V62" s="48">
        <v>0</v>
      </c>
      <c r="W62" s="30">
        <f t="shared" si="16"/>
        <v>12.299999999999999</v>
      </c>
      <c r="X62" s="6">
        <f t="shared" si="17"/>
        <v>10297.038480918167</v>
      </c>
      <c r="Y62" s="4">
        <f t="shared" si="18"/>
        <v>0</v>
      </c>
      <c r="Z62" s="126"/>
      <c r="AA62" s="5"/>
      <c r="AB62" s="114">
        <f t="shared" si="20"/>
        <v>0</v>
      </c>
    </row>
    <row r="63" spans="1:28">
      <c r="A63" s="1" t="s">
        <v>248</v>
      </c>
      <c r="B63" s="49">
        <v>25.63</v>
      </c>
      <c r="C63" s="48">
        <v>23678.537666598339</v>
      </c>
      <c r="D63" s="82">
        <v>0</v>
      </c>
      <c r="E63" s="48">
        <v>0</v>
      </c>
      <c r="F63" s="48">
        <v>0</v>
      </c>
      <c r="G63" s="48">
        <v>0</v>
      </c>
      <c r="H63" s="49">
        <v>0</v>
      </c>
      <c r="I63" s="48">
        <v>0</v>
      </c>
      <c r="J63" s="63">
        <f t="shared" si="21"/>
        <v>0</v>
      </c>
      <c r="K63" s="124">
        <f t="shared" si="21"/>
        <v>0</v>
      </c>
      <c r="L63" s="82">
        <f t="shared" si="13"/>
        <v>25.63</v>
      </c>
      <c r="M63" s="6">
        <f t="shared" si="13"/>
        <v>23678.537666598339</v>
      </c>
      <c r="N63" s="48">
        <f t="shared" si="14"/>
        <v>923.86022889576043</v>
      </c>
      <c r="O63" s="49">
        <v>0</v>
      </c>
      <c r="P63" s="48">
        <f t="shared" si="22"/>
        <v>0</v>
      </c>
      <c r="Q63" s="49">
        <v>0</v>
      </c>
      <c r="R63" s="48">
        <f t="shared" si="15"/>
        <v>0</v>
      </c>
      <c r="S63" s="76">
        <f t="shared" si="23"/>
        <v>0</v>
      </c>
      <c r="T63" s="77">
        <f t="shared" si="23"/>
        <v>0</v>
      </c>
      <c r="U63" s="49">
        <v>0</v>
      </c>
      <c r="V63" s="48">
        <v>0</v>
      </c>
      <c r="W63" s="30">
        <f t="shared" si="16"/>
        <v>25.63</v>
      </c>
      <c r="X63" s="6">
        <f t="shared" si="17"/>
        <v>23678.537666598339</v>
      </c>
      <c r="Y63" s="4">
        <f t="shared" si="18"/>
        <v>0</v>
      </c>
      <c r="Z63" s="126">
        <f t="shared" ref="Z63:Z66" si="24">IF(Y63&gt;0,(Y63/V63),0)</f>
        <v>0</v>
      </c>
      <c r="AA63" s="5">
        <v>0</v>
      </c>
      <c r="AB63" s="114">
        <f t="shared" si="20"/>
        <v>0</v>
      </c>
    </row>
    <row r="64" spans="1:28">
      <c r="A64" s="1" t="s">
        <v>249</v>
      </c>
      <c r="B64" s="49">
        <v>316.13</v>
      </c>
      <c r="C64" s="48">
        <v>36262.651017232143</v>
      </c>
      <c r="D64" s="82">
        <v>0</v>
      </c>
      <c r="E64" s="48">
        <v>0</v>
      </c>
      <c r="F64" s="48">
        <v>0</v>
      </c>
      <c r="G64" s="48">
        <v>0</v>
      </c>
      <c r="H64" s="49">
        <v>0</v>
      </c>
      <c r="I64" s="48">
        <v>0</v>
      </c>
      <c r="J64" s="63">
        <f t="shared" si="21"/>
        <v>0</v>
      </c>
      <c r="K64" s="124">
        <f t="shared" si="21"/>
        <v>0</v>
      </c>
      <c r="L64" s="82">
        <f t="shared" si="13"/>
        <v>316.13</v>
      </c>
      <c r="M64" s="6">
        <f t="shared" si="13"/>
        <v>36262.651017232143</v>
      </c>
      <c r="N64" s="48">
        <f t="shared" si="14"/>
        <v>114.7080347237913</v>
      </c>
      <c r="O64" s="49">
        <v>0</v>
      </c>
      <c r="P64" s="48">
        <f t="shared" si="22"/>
        <v>0</v>
      </c>
      <c r="Q64" s="49">
        <v>172.39999999999998</v>
      </c>
      <c r="R64" s="48">
        <f t="shared" si="15"/>
        <v>19775.665186381619</v>
      </c>
      <c r="S64" s="76">
        <f t="shared" si="23"/>
        <v>172.39999999999998</v>
      </c>
      <c r="T64" s="77">
        <f t="shared" si="23"/>
        <v>19775.665186381619</v>
      </c>
      <c r="U64" s="49">
        <v>0</v>
      </c>
      <c r="V64" s="48">
        <v>0</v>
      </c>
      <c r="W64" s="30">
        <f t="shared" si="16"/>
        <v>143.73000000000002</v>
      </c>
      <c r="X64" s="6">
        <f t="shared" si="17"/>
        <v>16486.985830850525</v>
      </c>
      <c r="Y64" s="4">
        <f t="shared" si="18"/>
        <v>0</v>
      </c>
      <c r="Z64" s="126">
        <f t="shared" si="24"/>
        <v>0</v>
      </c>
      <c r="AA64" s="5">
        <v>0</v>
      </c>
      <c r="AB64" s="114">
        <f t="shared" si="20"/>
        <v>0</v>
      </c>
    </row>
    <row r="65" spans="1:28">
      <c r="A65" s="1" t="s">
        <v>250</v>
      </c>
      <c r="B65" s="49">
        <v>929.68</v>
      </c>
      <c r="C65" s="48">
        <v>169948.71161994932</v>
      </c>
      <c r="D65" s="82">
        <v>0</v>
      </c>
      <c r="E65" s="48">
        <v>0</v>
      </c>
      <c r="F65" s="48">
        <v>0</v>
      </c>
      <c r="G65" s="48">
        <v>0</v>
      </c>
      <c r="H65" s="49">
        <v>0</v>
      </c>
      <c r="I65" s="48">
        <v>0</v>
      </c>
      <c r="J65" s="63">
        <f t="shared" si="21"/>
        <v>0</v>
      </c>
      <c r="K65" s="124">
        <f t="shared" si="21"/>
        <v>0</v>
      </c>
      <c r="L65" s="82">
        <f t="shared" si="13"/>
        <v>929.68</v>
      </c>
      <c r="M65" s="6">
        <f t="shared" si="13"/>
        <v>169948.71161994932</v>
      </c>
      <c r="N65" s="48">
        <f t="shared" si="14"/>
        <v>182.80345024088862</v>
      </c>
      <c r="O65" s="49">
        <v>0</v>
      </c>
      <c r="P65" s="48">
        <f t="shared" si="22"/>
        <v>0</v>
      </c>
      <c r="Q65" s="49">
        <v>801</v>
      </c>
      <c r="R65" s="48">
        <f t="shared" si="15"/>
        <v>146425.56364295178</v>
      </c>
      <c r="S65" s="76">
        <f t="shared" si="23"/>
        <v>801</v>
      </c>
      <c r="T65" s="77">
        <f t="shared" si="23"/>
        <v>146425.56364295178</v>
      </c>
      <c r="U65" s="49">
        <v>0</v>
      </c>
      <c r="V65" s="48">
        <v>0</v>
      </c>
      <c r="W65" s="30">
        <f t="shared" si="16"/>
        <v>128.67999999999995</v>
      </c>
      <c r="X65" s="6">
        <f t="shared" si="17"/>
        <v>23523.147976997538</v>
      </c>
      <c r="Y65" s="4">
        <f t="shared" si="18"/>
        <v>0</v>
      </c>
      <c r="Z65" s="126">
        <f t="shared" si="24"/>
        <v>0</v>
      </c>
      <c r="AA65" s="5">
        <v>0</v>
      </c>
      <c r="AB65" s="114">
        <f t="shared" si="20"/>
        <v>0</v>
      </c>
    </row>
    <row r="66" spans="1:28">
      <c r="A66" s="1" t="s">
        <v>251</v>
      </c>
      <c r="B66" s="49">
        <f>2.5+870.44</f>
        <v>872.94</v>
      </c>
      <c r="C66" s="48">
        <f>534.933966301616+243723.398841818</f>
        <v>244258.33280811962</v>
      </c>
      <c r="D66" s="82">
        <v>0</v>
      </c>
      <c r="E66" s="48">
        <v>0</v>
      </c>
      <c r="F66" s="48">
        <v>0</v>
      </c>
      <c r="G66" s="48">
        <v>0</v>
      </c>
      <c r="H66" s="49">
        <v>0</v>
      </c>
      <c r="I66" s="48">
        <v>0</v>
      </c>
      <c r="J66" s="63">
        <f t="shared" si="21"/>
        <v>0</v>
      </c>
      <c r="K66" s="124">
        <f t="shared" si="21"/>
        <v>0</v>
      </c>
      <c r="L66" s="82">
        <f t="shared" si="13"/>
        <v>872.94</v>
      </c>
      <c r="M66" s="6">
        <f t="shared" si="13"/>
        <v>244258.33280811962</v>
      </c>
      <c r="N66" s="48">
        <f t="shared" si="14"/>
        <v>279.81113571164065</v>
      </c>
      <c r="O66" s="49">
        <v>0</v>
      </c>
      <c r="P66" s="48">
        <f t="shared" si="22"/>
        <v>0</v>
      </c>
      <c r="Q66" s="49">
        <v>802.63</v>
      </c>
      <c r="R66" s="48">
        <f t="shared" si="15"/>
        <v>224584.81185623413</v>
      </c>
      <c r="S66" s="76">
        <f t="shared" si="23"/>
        <v>802.63</v>
      </c>
      <c r="T66" s="77">
        <f t="shared" si="23"/>
        <v>224584.81185623413</v>
      </c>
      <c r="U66" s="49">
        <v>0</v>
      </c>
      <c r="V66" s="48">
        <v>0</v>
      </c>
      <c r="W66" s="30">
        <f t="shared" si="16"/>
        <v>70.310000000000059</v>
      </c>
      <c r="X66" s="6">
        <f t="shared" si="17"/>
        <v>19673.520951885472</v>
      </c>
      <c r="Y66" s="4">
        <f t="shared" si="18"/>
        <v>0</v>
      </c>
      <c r="Z66" s="126">
        <f t="shared" si="24"/>
        <v>0</v>
      </c>
      <c r="AA66" s="5">
        <v>0</v>
      </c>
      <c r="AB66" s="114">
        <f t="shared" si="20"/>
        <v>0</v>
      </c>
    </row>
    <row r="67" spans="1:28">
      <c r="A67" s="1" t="s">
        <v>252</v>
      </c>
      <c r="B67" s="49">
        <v>523.08000000000004</v>
      </c>
      <c r="C67" s="48">
        <v>164770.44178607748</v>
      </c>
      <c r="D67" s="82">
        <v>0</v>
      </c>
      <c r="E67" s="48">
        <v>0</v>
      </c>
      <c r="F67" s="48">
        <v>0</v>
      </c>
      <c r="G67" s="48">
        <v>0</v>
      </c>
      <c r="H67" s="49">
        <v>0</v>
      </c>
      <c r="I67" s="48">
        <v>0</v>
      </c>
      <c r="J67" s="63">
        <f t="shared" si="21"/>
        <v>0</v>
      </c>
      <c r="K67" s="124">
        <f t="shared" si="21"/>
        <v>0</v>
      </c>
      <c r="L67" s="82">
        <f t="shared" si="13"/>
        <v>523.08000000000004</v>
      </c>
      <c r="M67" s="6">
        <f t="shared" si="13"/>
        <v>164770.44178607748</v>
      </c>
      <c r="N67" s="48">
        <f t="shared" si="14"/>
        <v>315.00046223537026</v>
      </c>
      <c r="O67" s="49">
        <v>0</v>
      </c>
      <c r="P67" s="48">
        <f t="shared" si="22"/>
        <v>0</v>
      </c>
      <c r="Q67" s="49">
        <v>317.13</v>
      </c>
      <c r="R67" s="48">
        <f t="shared" si="15"/>
        <v>99896.096588702974</v>
      </c>
      <c r="S67" s="76">
        <f t="shared" si="23"/>
        <v>317.13</v>
      </c>
      <c r="T67" s="77">
        <f t="shared" si="23"/>
        <v>99896.096588702974</v>
      </c>
      <c r="U67" s="49">
        <v>0</v>
      </c>
      <c r="V67" s="48">
        <v>0</v>
      </c>
      <c r="W67" s="30">
        <f t="shared" si="16"/>
        <v>205.95000000000005</v>
      </c>
      <c r="X67" s="6">
        <f t="shared" si="17"/>
        <v>64874.345197374518</v>
      </c>
      <c r="Y67" s="4">
        <f t="shared" si="18"/>
        <v>0</v>
      </c>
      <c r="Z67" s="126"/>
      <c r="AA67" s="5"/>
      <c r="AB67" s="114">
        <f t="shared" si="20"/>
        <v>0</v>
      </c>
    </row>
    <row r="68" spans="1:28">
      <c r="A68" s="1" t="s">
        <v>253</v>
      </c>
      <c r="B68" s="49">
        <v>429.72</v>
      </c>
      <c r="C68" s="48">
        <v>196674.27958574431</v>
      </c>
      <c r="D68" s="82">
        <v>0</v>
      </c>
      <c r="E68" s="48">
        <v>0</v>
      </c>
      <c r="F68" s="48">
        <v>0</v>
      </c>
      <c r="G68" s="48">
        <v>0</v>
      </c>
      <c r="H68" s="49">
        <v>0</v>
      </c>
      <c r="I68" s="48">
        <v>0</v>
      </c>
      <c r="J68" s="63">
        <f t="shared" si="21"/>
        <v>0</v>
      </c>
      <c r="K68" s="124">
        <f t="shared" si="21"/>
        <v>0</v>
      </c>
      <c r="L68" s="82">
        <f t="shared" si="13"/>
        <v>429.72</v>
      </c>
      <c r="M68" s="6">
        <f t="shared" si="13"/>
        <v>196674.27958574431</v>
      </c>
      <c r="N68" s="48">
        <f t="shared" si="14"/>
        <v>457.68006977972703</v>
      </c>
      <c r="O68" s="49">
        <v>0</v>
      </c>
      <c r="P68" s="48">
        <f t="shared" si="22"/>
        <v>0</v>
      </c>
      <c r="Q68" s="49">
        <v>400.16</v>
      </c>
      <c r="R68" s="48">
        <f t="shared" si="15"/>
        <v>183145.25672305559</v>
      </c>
      <c r="S68" s="76">
        <f t="shared" si="23"/>
        <v>400.16</v>
      </c>
      <c r="T68" s="77">
        <f t="shared" si="23"/>
        <v>183145.25672305559</v>
      </c>
      <c r="U68" s="49">
        <v>0</v>
      </c>
      <c r="V68" s="48">
        <v>0</v>
      </c>
      <c r="W68" s="30">
        <f t="shared" si="16"/>
        <v>29.560000000000002</v>
      </c>
      <c r="X68" s="6">
        <f t="shared" si="17"/>
        <v>13529.022862688733</v>
      </c>
      <c r="Y68" s="4">
        <f t="shared" si="18"/>
        <v>0</v>
      </c>
      <c r="Z68" s="126">
        <f t="shared" ref="Z68" si="25">IF(Y68&gt;0,(Y68/V68),0)</f>
        <v>0</v>
      </c>
      <c r="AA68" s="5">
        <v>0</v>
      </c>
      <c r="AB68" s="114">
        <f t="shared" si="20"/>
        <v>0</v>
      </c>
    </row>
    <row r="69" spans="1:28">
      <c r="A69" s="1" t="s">
        <v>254</v>
      </c>
      <c r="B69" s="49">
        <f>1132.56+462.22</f>
        <v>1594.78</v>
      </c>
      <c r="C69" s="48">
        <f>33976.3680384454+4622.37822935143</f>
        <v>38598.746267796829</v>
      </c>
      <c r="D69" s="82">
        <v>0</v>
      </c>
      <c r="E69" s="48">
        <v>0</v>
      </c>
      <c r="F69" s="48">
        <v>0</v>
      </c>
      <c r="G69" s="48">
        <v>0</v>
      </c>
      <c r="H69" s="49">
        <v>0</v>
      </c>
      <c r="I69" s="48">
        <v>0</v>
      </c>
      <c r="J69" s="63">
        <f>+F69+H69</f>
        <v>0</v>
      </c>
      <c r="K69" s="124">
        <f>+G69+I69</f>
        <v>0</v>
      </c>
      <c r="L69" s="82">
        <f>+B69+D69+H69</f>
        <v>1594.78</v>
      </c>
      <c r="M69" s="6">
        <f>+C69+E69+I69</f>
        <v>38598.746267796829</v>
      </c>
      <c r="N69" s="48">
        <f>M69/L69</f>
        <v>24.203179289806009</v>
      </c>
      <c r="O69" s="49">
        <v>0</v>
      </c>
      <c r="P69" s="48">
        <f>+O69*N69</f>
        <v>0</v>
      </c>
      <c r="Q69" s="49">
        <v>689.10000000000014</v>
      </c>
      <c r="R69" s="48">
        <f>Q69*N69</f>
        <v>16678.410848605323</v>
      </c>
      <c r="S69" s="76">
        <f>+O69+Q69</f>
        <v>689.10000000000014</v>
      </c>
      <c r="T69" s="77">
        <f>+P69+R69</f>
        <v>16678.410848605323</v>
      </c>
      <c r="U69" s="49">
        <v>0</v>
      </c>
      <c r="V69" s="48">
        <v>0</v>
      </c>
      <c r="W69" s="30">
        <f>L69-U69-Q69</f>
        <v>905.67999999999984</v>
      </c>
      <c r="X69" s="6">
        <f>W69*N69</f>
        <v>21920.335419191502</v>
      </c>
      <c r="Y69" s="4">
        <f>+X69+V69+R69-M69</f>
        <v>0</v>
      </c>
      <c r="Z69" s="126">
        <f>IF(Y69&gt;0,(Y69/V69),0)</f>
        <v>0</v>
      </c>
      <c r="AA69" s="5">
        <v>0.24993280023958403</v>
      </c>
      <c r="AB69" s="114">
        <f>Z69-AA69</f>
        <v>-0.24993280023958403</v>
      </c>
    </row>
    <row r="70" spans="1:28">
      <c r="A70" s="1" t="s">
        <v>255</v>
      </c>
      <c r="B70" s="49">
        <v>1058.69</v>
      </c>
      <c r="C70" s="48">
        <v>550518.00120721699</v>
      </c>
      <c r="D70" s="82">
        <v>0</v>
      </c>
      <c r="E70" s="48">
        <v>0</v>
      </c>
      <c r="F70" s="48">
        <v>0</v>
      </c>
      <c r="G70" s="48">
        <v>0</v>
      </c>
      <c r="H70" s="49">
        <v>0</v>
      </c>
      <c r="I70" s="48">
        <v>0</v>
      </c>
      <c r="J70" s="63">
        <f t="shared" si="21"/>
        <v>0</v>
      </c>
      <c r="K70" s="124">
        <f t="shared" si="21"/>
        <v>0</v>
      </c>
      <c r="L70" s="82">
        <f t="shared" si="13"/>
        <v>1058.69</v>
      </c>
      <c r="M70" s="6">
        <f t="shared" si="13"/>
        <v>550518.00120721699</v>
      </c>
      <c r="N70" s="48">
        <f t="shared" ref="N70:N75" si="26">M70/L70</f>
        <v>519.99924548944159</v>
      </c>
      <c r="O70" s="49">
        <v>0</v>
      </c>
      <c r="P70" s="48">
        <f t="shared" si="22"/>
        <v>0</v>
      </c>
      <c r="Q70" s="49">
        <v>1001.61</v>
      </c>
      <c r="R70" s="48">
        <f t="shared" si="15"/>
        <v>520836.44427467958</v>
      </c>
      <c r="S70" s="76">
        <f t="shared" si="23"/>
        <v>1001.61</v>
      </c>
      <c r="T70" s="77">
        <f t="shared" si="23"/>
        <v>520836.44427467958</v>
      </c>
      <c r="U70" s="49">
        <v>0</v>
      </c>
      <c r="V70" s="48">
        <v>0</v>
      </c>
      <c r="W70" s="30">
        <f t="shared" si="16"/>
        <v>57.080000000000041</v>
      </c>
      <c r="X70" s="6">
        <f t="shared" ref="X70:X74" si="27">W70*N70</f>
        <v>29681.556932537347</v>
      </c>
      <c r="Y70" s="4">
        <f t="shared" si="18"/>
        <v>0</v>
      </c>
      <c r="Z70" s="126">
        <f t="shared" ref="Z70:Z75" si="28">IF(Y70&gt;0,(Y70/V70),0)</f>
        <v>0</v>
      </c>
      <c r="AA70" s="5">
        <v>9.52524668689529E-3</v>
      </c>
      <c r="AB70" s="114">
        <f t="shared" si="20"/>
        <v>-9.52524668689529E-3</v>
      </c>
    </row>
    <row r="71" spans="1:28">
      <c r="A71" s="1" t="s">
        <v>256</v>
      </c>
      <c r="B71" s="49">
        <v>12.28</v>
      </c>
      <c r="C71" s="48">
        <v>5071.3329157534445</v>
      </c>
      <c r="D71" s="82">
        <v>0</v>
      </c>
      <c r="E71" s="48">
        <v>0</v>
      </c>
      <c r="F71" s="48">
        <v>0</v>
      </c>
      <c r="G71" s="48">
        <v>0</v>
      </c>
      <c r="H71" s="49">
        <v>0</v>
      </c>
      <c r="I71" s="48">
        <v>0</v>
      </c>
      <c r="J71" s="63">
        <f t="shared" si="21"/>
        <v>0</v>
      </c>
      <c r="K71" s="124">
        <f t="shared" si="21"/>
        <v>0</v>
      </c>
      <c r="L71" s="82">
        <f t="shared" si="13"/>
        <v>12.28</v>
      </c>
      <c r="M71" s="6">
        <f t="shared" si="13"/>
        <v>5071.3329157534445</v>
      </c>
      <c r="N71" s="48">
        <f t="shared" si="26"/>
        <v>412.97499313953131</v>
      </c>
      <c r="O71" s="49">
        <v>0</v>
      </c>
      <c r="P71" s="48">
        <f t="shared" si="22"/>
        <v>0</v>
      </c>
      <c r="Q71" s="49">
        <v>0</v>
      </c>
      <c r="R71" s="48">
        <f t="shared" si="15"/>
        <v>0</v>
      </c>
      <c r="S71" s="76">
        <f t="shared" si="23"/>
        <v>0</v>
      </c>
      <c r="T71" s="77">
        <f t="shared" si="23"/>
        <v>0</v>
      </c>
      <c r="U71" s="49">
        <v>0</v>
      </c>
      <c r="V71" s="48">
        <v>0</v>
      </c>
      <c r="W71" s="30">
        <f t="shared" si="16"/>
        <v>12.28</v>
      </c>
      <c r="X71" s="6">
        <f t="shared" si="27"/>
        <v>5071.3329157534445</v>
      </c>
      <c r="Y71" s="4">
        <f t="shared" si="18"/>
        <v>0</v>
      </c>
      <c r="Z71" s="126">
        <f t="shared" si="28"/>
        <v>0</v>
      </c>
      <c r="AA71" s="5">
        <v>0.31170834476744669</v>
      </c>
      <c r="AB71" s="114">
        <f t="shared" si="20"/>
        <v>-0.31170834476744669</v>
      </c>
    </row>
    <row r="72" spans="1:28">
      <c r="A72" s="1" t="s">
        <v>257</v>
      </c>
      <c r="B72" s="49">
        <v>3.1</v>
      </c>
      <c r="C72" s="48">
        <v>1439.0399727881606</v>
      </c>
      <c r="D72" s="82">
        <v>0</v>
      </c>
      <c r="E72" s="48">
        <v>0</v>
      </c>
      <c r="F72" s="48">
        <v>0</v>
      </c>
      <c r="G72" s="48">
        <v>0</v>
      </c>
      <c r="H72" s="49">
        <v>0</v>
      </c>
      <c r="I72" s="48">
        <v>0</v>
      </c>
      <c r="J72" s="63">
        <f t="shared" si="21"/>
        <v>0</v>
      </c>
      <c r="K72" s="124">
        <f t="shared" si="21"/>
        <v>0</v>
      </c>
      <c r="L72" s="82">
        <f t="shared" si="13"/>
        <v>3.1</v>
      </c>
      <c r="M72" s="6">
        <f t="shared" si="13"/>
        <v>1439.0399727881606</v>
      </c>
      <c r="N72" s="48">
        <f t="shared" si="26"/>
        <v>464.20644283489054</v>
      </c>
      <c r="O72" s="49">
        <v>0</v>
      </c>
      <c r="P72" s="48">
        <f t="shared" si="22"/>
        <v>0</v>
      </c>
      <c r="Q72" s="49">
        <v>0</v>
      </c>
      <c r="R72" s="48">
        <f t="shared" si="15"/>
        <v>0</v>
      </c>
      <c r="S72" s="76">
        <f t="shared" si="23"/>
        <v>0</v>
      </c>
      <c r="T72" s="77">
        <f t="shared" si="23"/>
        <v>0</v>
      </c>
      <c r="U72" s="49">
        <v>0</v>
      </c>
      <c r="V72" s="48">
        <v>0</v>
      </c>
      <c r="W72" s="30">
        <f t="shared" si="16"/>
        <v>3.1</v>
      </c>
      <c r="X72" s="6">
        <f t="shared" si="27"/>
        <v>1439.0399727881606</v>
      </c>
      <c r="Y72" s="4">
        <f t="shared" si="18"/>
        <v>0</v>
      </c>
      <c r="Z72" s="126"/>
      <c r="AA72" s="5"/>
      <c r="AB72" s="114">
        <f t="shared" si="20"/>
        <v>0</v>
      </c>
    </row>
    <row r="73" spans="1:28">
      <c r="A73" s="1" t="s">
        <v>258</v>
      </c>
      <c r="B73" s="49">
        <v>624.54999999999995</v>
      </c>
      <c r="C73" s="48">
        <v>323312.01532760495</v>
      </c>
      <c r="D73" s="82">
        <v>0</v>
      </c>
      <c r="E73" s="48">
        <v>0</v>
      </c>
      <c r="F73" s="48">
        <v>0</v>
      </c>
      <c r="G73" s="48">
        <v>0</v>
      </c>
      <c r="H73" s="49">
        <v>0</v>
      </c>
      <c r="I73" s="48">
        <v>0</v>
      </c>
      <c r="J73" s="63">
        <f t="shared" si="21"/>
        <v>0</v>
      </c>
      <c r="K73" s="124">
        <f t="shared" si="21"/>
        <v>0</v>
      </c>
      <c r="L73" s="82">
        <f t="shared" si="13"/>
        <v>624.54999999999995</v>
      </c>
      <c r="M73" s="6">
        <f t="shared" si="13"/>
        <v>323312.01532760495</v>
      </c>
      <c r="N73" s="48">
        <f t="shared" si="26"/>
        <v>517.67194832696339</v>
      </c>
      <c r="O73" s="49">
        <v>0</v>
      </c>
      <c r="P73" s="48">
        <f t="shared" si="22"/>
        <v>0</v>
      </c>
      <c r="Q73" s="49">
        <v>600.22</v>
      </c>
      <c r="R73" s="48">
        <f t="shared" si="15"/>
        <v>310717.05682480999</v>
      </c>
      <c r="S73" s="76">
        <f t="shared" si="23"/>
        <v>600.22</v>
      </c>
      <c r="T73" s="77">
        <f t="shared" si="23"/>
        <v>310717.05682480999</v>
      </c>
      <c r="U73" s="49">
        <v>0</v>
      </c>
      <c r="V73" s="48">
        <v>0</v>
      </c>
      <c r="W73" s="30">
        <f t="shared" si="16"/>
        <v>24.329999999999927</v>
      </c>
      <c r="X73" s="6">
        <f t="shared" si="27"/>
        <v>12594.958502794982</v>
      </c>
      <c r="Y73" s="4">
        <f t="shared" si="18"/>
        <v>0</v>
      </c>
      <c r="Z73" s="126"/>
      <c r="AA73" s="5"/>
      <c r="AB73" s="114">
        <f t="shared" si="20"/>
        <v>0</v>
      </c>
    </row>
    <row r="74" spans="1:28">
      <c r="A74" s="1" t="s">
        <v>259</v>
      </c>
      <c r="B74" s="49">
        <v>19.28</v>
      </c>
      <c r="C74" s="48">
        <v>11196.727866683679</v>
      </c>
      <c r="D74" s="82">
        <v>0</v>
      </c>
      <c r="E74" s="48">
        <v>0</v>
      </c>
      <c r="F74" s="48">
        <v>0</v>
      </c>
      <c r="G74" s="48">
        <v>0</v>
      </c>
      <c r="H74" s="49">
        <v>0</v>
      </c>
      <c r="I74" s="48">
        <v>0</v>
      </c>
      <c r="J74" s="63">
        <f t="shared" si="21"/>
        <v>0</v>
      </c>
      <c r="K74" s="124">
        <f t="shared" si="21"/>
        <v>0</v>
      </c>
      <c r="L74" s="82">
        <f t="shared" si="13"/>
        <v>19.28</v>
      </c>
      <c r="M74" s="6">
        <f t="shared" si="13"/>
        <v>11196.727866683679</v>
      </c>
      <c r="N74" s="48">
        <f t="shared" si="26"/>
        <v>580.743146612224</v>
      </c>
      <c r="O74" s="49">
        <v>0</v>
      </c>
      <c r="P74" s="48">
        <f t="shared" si="22"/>
        <v>0</v>
      </c>
      <c r="Q74" s="49">
        <v>0</v>
      </c>
      <c r="R74" s="48">
        <f t="shared" si="15"/>
        <v>0</v>
      </c>
      <c r="S74" s="76">
        <f t="shared" si="23"/>
        <v>0</v>
      </c>
      <c r="T74" s="77">
        <f t="shared" si="23"/>
        <v>0</v>
      </c>
      <c r="U74" s="49">
        <v>0</v>
      </c>
      <c r="V74" s="48">
        <v>0</v>
      </c>
      <c r="W74" s="30">
        <f t="shared" si="16"/>
        <v>19.28</v>
      </c>
      <c r="X74" s="6">
        <f t="shared" si="27"/>
        <v>11196.727866683679</v>
      </c>
      <c r="Y74" s="4">
        <f t="shared" si="18"/>
        <v>0</v>
      </c>
      <c r="Z74" s="126">
        <f t="shared" ref="Z74" si="29">IF(Y74&gt;0,(Y74/V74),0)</f>
        <v>0</v>
      </c>
      <c r="AA74" s="5">
        <v>0</v>
      </c>
      <c r="AB74" s="114">
        <f t="shared" si="20"/>
        <v>0</v>
      </c>
    </row>
    <row r="75" spans="1:28">
      <c r="A75" s="1" t="s">
        <v>260</v>
      </c>
      <c r="B75" s="49">
        <v>0</v>
      </c>
      <c r="C75" s="48">
        <v>0</v>
      </c>
      <c r="D75" s="82">
        <v>0</v>
      </c>
      <c r="E75" s="48">
        <v>0</v>
      </c>
      <c r="F75" s="48">
        <v>0</v>
      </c>
      <c r="G75" s="48">
        <v>0</v>
      </c>
      <c r="H75" s="49">
        <v>758.66000000000008</v>
      </c>
      <c r="I75" s="48">
        <v>489467.22003304941</v>
      </c>
      <c r="J75" s="63">
        <f t="shared" si="21"/>
        <v>758.66000000000008</v>
      </c>
      <c r="K75" s="124">
        <f t="shared" si="21"/>
        <v>489467.22003304941</v>
      </c>
      <c r="L75" s="82">
        <f t="shared" si="13"/>
        <v>758.66000000000008</v>
      </c>
      <c r="M75" s="6">
        <f t="shared" si="13"/>
        <v>489467.22003304941</v>
      </c>
      <c r="N75" s="48">
        <f t="shared" si="26"/>
        <v>645.17335833317873</v>
      </c>
      <c r="O75" s="49">
        <v>0</v>
      </c>
      <c r="P75" s="48">
        <f t="shared" si="22"/>
        <v>0</v>
      </c>
      <c r="Q75" s="49">
        <v>0</v>
      </c>
      <c r="R75" s="48">
        <f t="shared" si="15"/>
        <v>0</v>
      </c>
      <c r="S75" s="76">
        <f t="shared" si="23"/>
        <v>0</v>
      </c>
      <c r="T75" s="77">
        <f t="shared" si="23"/>
        <v>0</v>
      </c>
      <c r="U75" s="49">
        <v>0</v>
      </c>
      <c r="V75" s="48">
        <v>0</v>
      </c>
      <c r="W75" s="30">
        <f t="shared" si="16"/>
        <v>758.66000000000008</v>
      </c>
      <c r="X75" s="6">
        <f>W75*N75</f>
        <v>489467.22003304941</v>
      </c>
      <c r="Y75" s="4">
        <f t="shared" si="18"/>
        <v>0</v>
      </c>
      <c r="Z75" s="126">
        <f t="shared" si="28"/>
        <v>0</v>
      </c>
      <c r="AA75" s="5">
        <v>0</v>
      </c>
      <c r="AB75" s="114">
        <f t="shared" si="20"/>
        <v>0</v>
      </c>
    </row>
    <row r="76" spans="1:28">
      <c r="B76" s="49"/>
      <c r="C76" s="48"/>
      <c r="D76" s="82"/>
      <c r="E76" s="48"/>
      <c r="F76" s="48"/>
      <c r="G76" s="48"/>
      <c r="H76" s="48"/>
      <c r="I76" s="48"/>
      <c r="J76" s="49"/>
      <c r="K76" s="48"/>
      <c r="L76" s="82"/>
      <c r="M76" s="48"/>
      <c r="N76" s="48"/>
      <c r="O76" s="48"/>
      <c r="P76" s="48"/>
      <c r="Q76" s="48"/>
      <c r="R76" s="48"/>
      <c r="S76" s="49"/>
      <c r="T76" s="48"/>
      <c r="U76" s="82"/>
      <c r="V76" s="48"/>
      <c r="W76" s="82"/>
      <c r="X76" s="48"/>
    </row>
    <row r="77" spans="1:28" ht="14.4" thickBot="1">
      <c r="A77" s="127" t="s">
        <v>38</v>
      </c>
      <c r="B77" s="132">
        <f t="shared" ref="B77:M77" si="30">SUM(B59:B76)</f>
        <v>11170.800000000001</v>
      </c>
      <c r="C77" s="133">
        <f t="shared" si="30"/>
        <v>2444265.1385538145</v>
      </c>
      <c r="D77" s="132">
        <f t="shared" si="30"/>
        <v>0</v>
      </c>
      <c r="E77" s="133">
        <f t="shared" si="30"/>
        <v>0</v>
      </c>
      <c r="F77" s="132">
        <f t="shared" si="30"/>
        <v>0</v>
      </c>
      <c r="G77" s="133">
        <f t="shared" si="30"/>
        <v>0</v>
      </c>
      <c r="H77" s="132">
        <f t="shared" si="30"/>
        <v>758.66000000000008</v>
      </c>
      <c r="I77" s="133">
        <f t="shared" si="30"/>
        <v>489467.22003304941</v>
      </c>
      <c r="J77" s="132">
        <f t="shared" si="30"/>
        <v>758.66000000000008</v>
      </c>
      <c r="K77" s="133">
        <f t="shared" si="30"/>
        <v>489467.22003304941</v>
      </c>
      <c r="L77" s="132">
        <f t="shared" si="30"/>
        <v>11929.460000000001</v>
      </c>
      <c r="M77" s="133">
        <f t="shared" si="30"/>
        <v>2933732.3585868641</v>
      </c>
      <c r="N77" s="133"/>
      <c r="O77" s="132">
        <f t="shared" ref="O77:X77" si="31">SUM(O59:O76)</f>
        <v>0</v>
      </c>
      <c r="P77" s="133">
        <f t="shared" si="31"/>
        <v>0</v>
      </c>
      <c r="Q77" s="132">
        <f t="shared" si="31"/>
        <v>8080.2000000000007</v>
      </c>
      <c r="R77" s="133">
        <f t="shared" si="31"/>
        <v>2049213.9110190081</v>
      </c>
      <c r="S77" s="132">
        <f t="shared" si="31"/>
        <v>8080.2000000000007</v>
      </c>
      <c r="T77" s="133">
        <f t="shared" si="31"/>
        <v>2049213.9110190081</v>
      </c>
      <c r="U77" s="132">
        <f t="shared" si="31"/>
        <v>27.36</v>
      </c>
      <c r="V77" s="133">
        <f t="shared" si="31"/>
        <v>2736</v>
      </c>
      <c r="W77" s="132">
        <f t="shared" si="31"/>
        <v>3821.9000000000005</v>
      </c>
      <c r="X77" s="133">
        <f t="shared" si="31"/>
        <v>882231.34324499033</v>
      </c>
      <c r="Y77" s="133">
        <f>SUM(Y59:Y76)</f>
        <v>448.8956771348021</v>
      </c>
      <c r="Z77" s="96">
        <f>IF(Y77&gt;0,(Y77/V77),0)</f>
        <v>0.16407005743231071</v>
      </c>
      <c r="AA77" s="96">
        <v>0.10872669502809419</v>
      </c>
      <c r="AB77" s="96">
        <f>+Z77-AA77</f>
        <v>5.5343362404216515E-2</v>
      </c>
    </row>
    <row r="78" spans="1:28" ht="14.4" thickTop="1">
      <c r="B78" s="134"/>
      <c r="C78" s="135"/>
      <c r="D78" s="136"/>
      <c r="E78" s="135"/>
      <c r="F78" s="135"/>
      <c r="G78" s="135"/>
      <c r="H78" s="135"/>
      <c r="I78" s="135"/>
      <c r="J78" s="134"/>
      <c r="K78" s="135"/>
      <c r="L78" s="136"/>
      <c r="M78" s="135"/>
      <c r="N78" s="135"/>
      <c r="O78" s="135"/>
      <c r="P78" s="135"/>
      <c r="Q78" s="135"/>
      <c r="R78" s="135"/>
      <c r="S78" s="134"/>
      <c r="T78" s="135"/>
      <c r="U78" s="136"/>
      <c r="V78" s="135"/>
      <c r="W78" s="136"/>
      <c r="X78" s="135"/>
    </row>
    <row r="80" spans="1:28">
      <c r="A80" s="28" t="s">
        <v>261</v>
      </c>
    </row>
    <row r="81" spans="1:28">
      <c r="B81" s="49"/>
      <c r="C81" s="48"/>
      <c r="D81" s="82"/>
      <c r="E81" s="48"/>
      <c r="F81" s="48"/>
      <c r="G81" s="48"/>
      <c r="H81" s="48"/>
      <c r="I81" s="48"/>
      <c r="J81" s="49"/>
      <c r="K81" s="48"/>
      <c r="L81" s="82"/>
      <c r="M81" s="48"/>
      <c r="N81" s="48"/>
      <c r="O81" s="48"/>
      <c r="P81" s="48"/>
      <c r="Q81" s="48"/>
      <c r="R81" s="48"/>
      <c r="S81" s="49"/>
      <c r="T81" s="48"/>
      <c r="U81" s="82"/>
      <c r="V81" s="48"/>
      <c r="W81" s="82"/>
      <c r="X81" s="48"/>
    </row>
    <row r="82" spans="1:28">
      <c r="A82" s="1" t="s">
        <v>262</v>
      </c>
      <c r="B82" s="63">
        <v>1.5</v>
      </c>
      <c r="C82" s="124">
        <v>119.95597319102443</v>
      </c>
      <c r="D82" s="76">
        <v>0</v>
      </c>
      <c r="E82" s="124">
        <v>0</v>
      </c>
      <c r="F82" s="124">
        <v>0</v>
      </c>
      <c r="G82" s="124">
        <v>0</v>
      </c>
      <c r="H82" s="63">
        <v>0</v>
      </c>
      <c r="I82" s="124">
        <v>0</v>
      </c>
      <c r="J82" s="63">
        <f>+F82+H82</f>
        <v>0</v>
      </c>
      <c r="K82" s="124">
        <f>+G82+I82</f>
        <v>0</v>
      </c>
      <c r="L82" s="82">
        <f t="shared" ref="L82:M84" si="32">+B82+D82+H82</f>
        <v>1.5</v>
      </c>
      <c r="M82" s="6">
        <f t="shared" si="32"/>
        <v>119.95597319102443</v>
      </c>
      <c r="N82" s="48">
        <f>M82/L82</f>
        <v>79.970648794016284</v>
      </c>
      <c r="O82" s="48">
        <v>0</v>
      </c>
      <c r="P82" s="48">
        <f>+O82*N82</f>
        <v>0</v>
      </c>
      <c r="Q82" s="63">
        <v>0</v>
      </c>
      <c r="R82" s="48">
        <f>Q82*N82</f>
        <v>0</v>
      </c>
      <c r="S82" s="76">
        <f>+O82+Q82</f>
        <v>0</v>
      </c>
      <c r="T82" s="77">
        <f>+P82+R82</f>
        <v>0</v>
      </c>
      <c r="U82" s="63">
        <v>1.5</v>
      </c>
      <c r="V82" s="124">
        <v>150</v>
      </c>
      <c r="W82" s="30">
        <f>L82-U82-Q82</f>
        <v>0</v>
      </c>
      <c r="X82" s="6">
        <f>W82*N82</f>
        <v>0</v>
      </c>
      <c r="Y82" s="4">
        <f>+X82+V82+R82-M82</f>
        <v>30.044026808975573</v>
      </c>
      <c r="Z82" s="126">
        <f t="shared" ref="Z82:Z85" si="33">IF(Y82&gt;0,(Y82/V82),0)</f>
        <v>0.20029351205983714</v>
      </c>
      <c r="AA82" s="5">
        <v>0</v>
      </c>
      <c r="AB82" s="114">
        <f t="shared" ref="AB82:AB84" si="34">Z82-AA82</f>
        <v>0.20029351205983714</v>
      </c>
    </row>
    <row r="83" spans="1:28">
      <c r="A83" s="1" t="s">
        <v>263</v>
      </c>
      <c r="B83" s="63">
        <v>393.89000000000004</v>
      </c>
      <c r="C83" s="124">
        <v>31500.298077187548</v>
      </c>
      <c r="D83" s="76">
        <v>0</v>
      </c>
      <c r="E83" s="124">
        <v>0</v>
      </c>
      <c r="H83" s="63">
        <v>0</v>
      </c>
      <c r="I83" s="124">
        <v>0</v>
      </c>
      <c r="J83" s="63">
        <f t="shared" ref="J83:K84" si="35">+F83+H83</f>
        <v>0</v>
      </c>
      <c r="K83" s="124">
        <f t="shared" si="35"/>
        <v>0</v>
      </c>
      <c r="L83" s="82">
        <f t="shared" si="32"/>
        <v>393.89000000000004</v>
      </c>
      <c r="M83" s="6">
        <f t="shared" si="32"/>
        <v>31500.298077187548</v>
      </c>
      <c r="N83" s="48">
        <f>M83/L83</f>
        <v>79.972322417902319</v>
      </c>
      <c r="O83" s="48">
        <v>0</v>
      </c>
      <c r="P83" s="48">
        <f t="shared" ref="P83:P84" si="36">+O83*N83</f>
        <v>0</v>
      </c>
      <c r="Q83" s="63">
        <v>101.29</v>
      </c>
      <c r="R83" s="48">
        <f>Q83*N83</f>
        <v>8100.3965377093264</v>
      </c>
      <c r="S83" s="76">
        <f t="shared" ref="S83:T84" si="37">+O83+Q83</f>
        <v>101.29</v>
      </c>
      <c r="T83" s="77">
        <f t="shared" si="37"/>
        <v>8100.3965377093264</v>
      </c>
      <c r="U83" s="63">
        <v>97.399999999999977</v>
      </c>
      <c r="V83" s="124">
        <v>14610</v>
      </c>
      <c r="W83" s="30">
        <f>L83-U83-Q83</f>
        <v>195.20000000000005</v>
      </c>
      <c r="X83" s="6">
        <f>W83*N83</f>
        <v>15610.597335974537</v>
      </c>
      <c r="Y83" s="4">
        <f>+X83+V83+R83-M83</f>
        <v>6820.6957964963185</v>
      </c>
      <c r="Z83" s="126">
        <f t="shared" si="33"/>
        <v>0.4668511838806515</v>
      </c>
      <c r="AA83" s="5">
        <v>0.33356397985081288</v>
      </c>
      <c r="AB83" s="114">
        <f t="shared" si="34"/>
        <v>0.13328720402983862</v>
      </c>
    </row>
    <row r="84" spans="1:28">
      <c r="A84" s="1" t="s">
        <v>264</v>
      </c>
      <c r="B84" s="63">
        <v>282.04000000000002</v>
      </c>
      <c r="C84" s="124">
        <v>55536.412446185415</v>
      </c>
      <c r="D84" s="76">
        <v>0</v>
      </c>
      <c r="E84" s="124">
        <v>0</v>
      </c>
      <c r="H84" s="63">
        <v>0</v>
      </c>
      <c r="I84" s="124">
        <v>0</v>
      </c>
      <c r="J84" s="63">
        <f t="shared" si="35"/>
        <v>0</v>
      </c>
      <c r="K84" s="124">
        <f t="shared" si="35"/>
        <v>0</v>
      </c>
      <c r="L84" s="82">
        <f t="shared" si="32"/>
        <v>282.04000000000002</v>
      </c>
      <c r="M84" s="6">
        <f t="shared" si="32"/>
        <v>55536.412446185415</v>
      </c>
      <c r="N84" s="48">
        <f>M84/L84</f>
        <v>196.90970233365979</v>
      </c>
      <c r="O84" s="48">
        <v>0</v>
      </c>
      <c r="P84" s="48">
        <f t="shared" si="36"/>
        <v>0</v>
      </c>
      <c r="Q84" s="63">
        <v>251.7</v>
      </c>
      <c r="R84" s="48">
        <f>Q84*N84</f>
        <v>49562.172077382165</v>
      </c>
      <c r="S84" s="76">
        <f t="shared" si="37"/>
        <v>251.7</v>
      </c>
      <c r="T84" s="77">
        <f t="shared" si="37"/>
        <v>49562.172077382165</v>
      </c>
      <c r="U84" s="63">
        <v>30.339999999999996</v>
      </c>
      <c r="V84" s="124">
        <v>9102</v>
      </c>
      <c r="W84" s="30">
        <f>L84-U84-Q84</f>
        <v>0</v>
      </c>
      <c r="X84" s="6">
        <f>W84*N84</f>
        <v>0</v>
      </c>
      <c r="Y84" s="4">
        <f>+X84+V84+R84-M84</f>
        <v>3127.75963119675</v>
      </c>
      <c r="Z84" s="126">
        <f t="shared" si="33"/>
        <v>0.34363432555446605</v>
      </c>
      <c r="AA84" s="5">
        <v>0</v>
      </c>
      <c r="AB84" s="114">
        <f t="shared" si="34"/>
        <v>0.34363432555446605</v>
      </c>
    </row>
    <row r="85" spans="1:28">
      <c r="A85" s="1" t="s">
        <v>265</v>
      </c>
      <c r="B85" s="63">
        <v>539.93499999999995</v>
      </c>
      <c r="C85" s="124">
        <v>8099.245968878744</v>
      </c>
      <c r="D85" s="76">
        <v>0</v>
      </c>
      <c r="E85" s="124">
        <v>0</v>
      </c>
      <c r="H85" s="63">
        <v>0</v>
      </c>
      <c r="I85" s="124">
        <v>0</v>
      </c>
      <c r="J85" s="63">
        <f>+F85+H85</f>
        <v>0</v>
      </c>
      <c r="K85" s="124">
        <f>+G85+I85</f>
        <v>0</v>
      </c>
      <c r="L85" s="82">
        <f>+B85+D85+H85</f>
        <v>539.93499999999995</v>
      </c>
      <c r="M85" s="6">
        <f>+C85+E85+I85</f>
        <v>8099.245968878744</v>
      </c>
      <c r="N85" s="48">
        <f>M85/L85</f>
        <v>15.000409250888985</v>
      </c>
      <c r="O85" s="48">
        <v>0</v>
      </c>
      <c r="P85" s="48">
        <f>+O85*N85</f>
        <v>0</v>
      </c>
      <c r="Q85" s="63">
        <v>401.22</v>
      </c>
      <c r="R85" s="48">
        <f>Q85*N85</f>
        <v>6018.4641996416794</v>
      </c>
      <c r="S85" s="76">
        <f>+O85+Q85</f>
        <v>401.22</v>
      </c>
      <c r="T85" s="77">
        <f>+P85+R85</f>
        <v>6018.4641996416794</v>
      </c>
      <c r="U85" s="63">
        <v>0</v>
      </c>
      <c r="V85" s="124">
        <v>0</v>
      </c>
      <c r="W85" s="30">
        <f>L85-U85-Q85</f>
        <v>138.71499999999992</v>
      </c>
      <c r="X85" s="6">
        <f>W85*N85</f>
        <v>2080.7817692370645</v>
      </c>
      <c r="Y85" s="4">
        <f>+X85+V85+R85-M85</f>
        <v>0</v>
      </c>
      <c r="Z85" s="126">
        <f t="shared" si="33"/>
        <v>0</v>
      </c>
      <c r="AA85" s="5">
        <v>0.24997953745555304</v>
      </c>
      <c r="AB85" s="114">
        <f>Z85-AA85</f>
        <v>-0.24997953745555304</v>
      </c>
    </row>
    <row r="87" spans="1:28" ht="14.4" thickBot="1">
      <c r="A87" s="127" t="s">
        <v>38</v>
      </c>
      <c r="B87" s="132">
        <f t="shared" ref="B87:M87" si="38">SUM(B82:B86)</f>
        <v>1217.365</v>
      </c>
      <c r="C87" s="133">
        <f t="shared" si="38"/>
        <v>95255.912465442743</v>
      </c>
      <c r="D87" s="132">
        <f t="shared" si="38"/>
        <v>0</v>
      </c>
      <c r="E87" s="133">
        <f t="shared" si="38"/>
        <v>0</v>
      </c>
      <c r="F87" s="132">
        <f t="shared" si="38"/>
        <v>0</v>
      </c>
      <c r="G87" s="133">
        <f t="shared" si="38"/>
        <v>0</v>
      </c>
      <c r="H87" s="132">
        <f t="shared" si="38"/>
        <v>0</v>
      </c>
      <c r="I87" s="133">
        <f t="shared" si="38"/>
        <v>0</v>
      </c>
      <c r="J87" s="132">
        <f t="shared" si="38"/>
        <v>0</v>
      </c>
      <c r="K87" s="133">
        <f t="shared" si="38"/>
        <v>0</v>
      </c>
      <c r="L87" s="132">
        <f t="shared" si="38"/>
        <v>1217.365</v>
      </c>
      <c r="M87" s="133">
        <f t="shared" si="38"/>
        <v>95255.912465442743</v>
      </c>
      <c r="N87" s="132"/>
      <c r="O87" s="132">
        <f t="shared" ref="O87:X87" si="39">SUM(O82:O86)</f>
        <v>0</v>
      </c>
      <c r="P87" s="133">
        <f t="shared" si="39"/>
        <v>0</v>
      </c>
      <c r="Q87" s="132">
        <f t="shared" si="39"/>
        <v>754.21</v>
      </c>
      <c r="R87" s="133">
        <f t="shared" si="39"/>
        <v>63681.032814733175</v>
      </c>
      <c r="S87" s="132">
        <f t="shared" si="39"/>
        <v>754.21</v>
      </c>
      <c r="T87" s="133">
        <f t="shared" si="39"/>
        <v>63681.032814733175</v>
      </c>
      <c r="U87" s="132">
        <f t="shared" si="39"/>
        <v>129.23999999999998</v>
      </c>
      <c r="V87" s="133">
        <f t="shared" si="39"/>
        <v>23862</v>
      </c>
      <c r="W87" s="132">
        <f t="shared" si="39"/>
        <v>333.91499999999996</v>
      </c>
      <c r="X87" s="133">
        <f t="shared" si="39"/>
        <v>17691.379105211599</v>
      </c>
      <c r="Y87" s="133">
        <f>SUM(Y82:Y86)</f>
        <v>9978.4994545020454</v>
      </c>
      <c r="Z87" s="96">
        <f>IF(Y87&gt;0,(Y87/V87),0)</f>
        <v>0.41817531868670044</v>
      </c>
      <c r="AA87" s="96">
        <v>0.32713440735886978</v>
      </c>
      <c r="AB87" s="96">
        <f>+Z87-AA87</f>
        <v>9.1040911327830654E-2</v>
      </c>
    </row>
    <row r="88" spans="1:28" ht="15" thickTop="1" thickBot="1"/>
    <row r="89" spans="1:28" ht="31.2" customHeight="1" thickBot="1">
      <c r="A89" s="137" t="s">
        <v>90</v>
      </c>
      <c r="B89" s="138">
        <f t="shared" ref="B89:X89" si="40">+B87+B77+B49</f>
        <v>57905.654999999999</v>
      </c>
      <c r="C89" s="139">
        <f t="shared" si="40"/>
        <v>33133332.172966801</v>
      </c>
      <c r="D89" s="138">
        <f t="shared" si="40"/>
        <v>0</v>
      </c>
      <c r="E89" s="139">
        <f t="shared" si="40"/>
        <v>0</v>
      </c>
      <c r="F89" s="138">
        <f t="shared" si="40"/>
        <v>0</v>
      </c>
      <c r="G89" s="139">
        <f t="shared" si="40"/>
        <v>0</v>
      </c>
      <c r="H89" s="138">
        <f t="shared" si="40"/>
        <v>1239.92</v>
      </c>
      <c r="I89" s="139">
        <f t="shared" si="40"/>
        <v>826157.42457074509</v>
      </c>
      <c r="J89" s="138">
        <f t="shared" si="40"/>
        <v>1239.92</v>
      </c>
      <c r="K89" s="139">
        <f t="shared" si="40"/>
        <v>826157.42457074509</v>
      </c>
      <c r="L89" s="138">
        <f t="shared" si="40"/>
        <v>59145.574999999997</v>
      </c>
      <c r="M89" s="139">
        <f t="shared" si="40"/>
        <v>33959489.597537547</v>
      </c>
      <c r="N89" s="138">
        <f t="shared" si="40"/>
        <v>0</v>
      </c>
      <c r="O89" s="138">
        <f t="shared" si="40"/>
        <v>0</v>
      </c>
      <c r="P89" s="139">
        <f t="shared" si="40"/>
        <v>0</v>
      </c>
      <c r="Q89" s="138">
        <f t="shared" si="40"/>
        <v>32591.894000000004</v>
      </c>
      <c r="R89" s="139">
        <f t="shared" si="40"/>
        <v>27842053.008519489</v>
      </c>
      <c r="S89" s="138">
        <f t="shared" si="40"/>
        <v>32591.894000000004</v>
      </c>
      <c r="T89" s="139">
        <f t="shared" si="40"/>
        <v>27842053.008519489</v>
      </c>
      <c r="U89" s="138">
        <f t="shared" si="40"/>
        <v>15630.469999999987</v>
      </c>
      <c r="V89" s="139">
        <f t="shared" si="40"/>
        <v>2172117.5</v>
      </c>
      <c r="W89" s="138">
        <f t="shared" si="40"/>
        <v>10923.211000000018</v>
      </c>
      <c r="X89" s="139">
        <f t="shared" si="40"/>
        <v>4452160.6668782746</v>
      </c>
      <c r="Y89" s="139">
        <f>+Y87+Y77+Y49</f>
        <v>506841.57786021533</v>
      </c>
      <c r="Z89" s="140">
        <f>IF(Y89&gt;0,(Y89/V89),0)</f>
        <v>0.23333985286717471</v>
      </c>
      <c r="AA89" s="140">
        <v>8.6226213719209424E-2</v>
      </c>
      <c r="AB89" s="140">
        <f>+Z89-AA89</f>
        <v>0.14711363914796527</v>
      </c>
    </row>
    <row r="90" spans="1:28">
      <c r="R90" s="77"/>
    </row>
  </sheetData>
  <mergeCells count="30">
    <mergeCell ref="AA56:AA57"/>
    <mergeCell ref="AB56:AB57"/>
    <mergeCell ref="O56:P56"/>
    <mergeCell ref="Q56:R56"/>
    <mergeCell ref="S56:T56"/>
    <mergeCell ref="U56:V56"/>
    <mergeCell ref="W56:X56"/>
    <mergeCell ref="Z56:Z57"/>
    <mergeCell ref="B56:C56"/>
    <mergeCell ref="D56:E56"/>
    <mergeCell ref="F56:G56"/>
    <mergeCell ref="H56:I56"/>
    <mergeCell ref="J56:K56"/>
    <mergeCell ref="L56:M56"/>
    <mergeCell ref="U7:V7"/>
    <mergeCell ref="W7:X7"/>
    <mergeCell ref="Z7:Z8"/>
    <mergeCell ref="AA7:AA8"/>
    <mergeCell ref="AB7:AB8"/>
    <mergeCell ref="A54:Y54"/>
    <mergeCell ref="A5:Y5"/>
    <mergeCell ref="B7:C7"/>
    <mergeCell ref="D7:E7"/>
    <mergeCell ref="F7:G7"/>
    <mergeCell ref="H7:I7"/>
    <mergeCell ref="J7:K7"/>
    <mergeCell ref="L7:M7"/>
    <mergeCell ref="O7:P7"/>
    <mergeCell ref="Q7:R7"/>
    <mergeCell ref="S7:T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6470-3A76-4D5F-B6A6-4F2F1008B920}">
  <dimension ref="A1:M395"/>
  <sheetViews>
    <sheetView workbookViewId="0">
      <selection sqref="A1:XFD1048576"/>
    </sheetView>
  </sheetViews>
  <sheetFormatPr defaultColWidth="9.33203125" defaultRowHeight="13.8"/>
  <cols>
    <col min="1" max="1" width="28.6640625" style="146" customWidth="1"/>
    <col min="2" max="2" width="15.33203125" style="142" bestFit="1" customWidth="1"/>
    <col min="3" max="3" width="15.6640625" style="145" bestFit="1" customWidth="1"/>
    <col min="4" max="4" width="2.33203125" style="146" bestFit="1" customWidth="1"/>
    <col min="5" max="5" width="26.6640625" style="146" customWidth="1"/>
    <col min="6" max="6" width="14.6640625" style="142" customWidth="1"/>
    <col min="7" max="7" width="15.33203125" style="145" bestFit="1" customWidth="1"/>
    <col min="8" max="8" width="17.5546875" style="146" bestFit="1" customWidth="1"/>
    <col min="9" max="9" width="17.33203125" style="146" bestFit="1" customWidth="1"/>
    <col min="10" max="10" width="27.44140625" style="146" bestFit="1" customWidth="1"/>
    <col min="11" max="11" width="12.33203125" style="146" bestFit="1" customWidth="1"/>
    <col min="12" max="12" width="10.33203125" style="146" bestFit="1" customWidth="1"/>
    <col min="13" max="13" width="10.6640625" style="146" bestFit="1" customWidth="1"/>
    <col min="14" max="14" width="10.6640625" style="146" customWidth="1"/>
    <col min="15" max="16384" width="9.33203125" style="146"/>
  </cols>
  <sheetData>
    <row r="1" spans="1:13" ht="15" customHeight="1">
      <c r="A1" s="141" t="s">
        <v>266</v>
      </c>
      <c r="C1" s="143"/>
      <c r="D1" s="144"/>
      <c r="E1" s="144"/>
    </row>
    <row r="2" spans="1:13" ht="15" customHeight="1">
      <c r="A2" s="141" t="s">
        <v>267</v>
      </c>
      <c r="C2" s="143"/>
      <c r="D2" s="144"/>
      <c r="G2" s="143" t="s">
        <v>268</v>
      </c>
    </row>
    <row r="3" spans="1:13" ht="15" customHeight="1">
      <c r="A3" s="141" t="s">
        <v>269</v>
      </c>
      <c r="C3" s="143"/>
      <c r="D3" s="144"/>
    </row>
    <row r="4" spans="1:13" ht="15" customHeight="1">
      <c r="A4" s="141" t="s">
        <v>270</v>
      </c>
      <c r="C4" s="143"/>
      <c r="D4" s="144"/>
    </row>
    <row r="5" spans="1:13" ht="15" customHeight="1">
      <c r="A5" s="141"/>
      <c r="C5" s="143"/>
      <c r="D5" s="144"/>
    </row>
    <row r="6" spans="1:13" ht="12" customHeight="1">
      <c r="A6" s="141"/>
      <c r="C6" s="143"/>
      <c r="D6" s="144"/>
    </row>
    <row r="7" spans="1:13" ht="15" customHeight="1">
      <c r="A7" s="147" t="s">
        <v>271</v>
      </c>
      <c r="B7" s="147"/>
      <c r="C7" s="147"/>
      <c r="D7" s="147"/>
      <c r="E7" s="147"/>
      <c r="F7" s="147"/>
      <c r="G7" s="147"/>
    </row>
    <row r="8" spans="1:13" ht="15" customHeight="1">
      <c r="A8" s="148"/>
      <c r="B8" s="149"/>
      <c r="C8" s="150"/>
      <c r="D8" s="148"/>
      <c r="E8" s="148"/>
      <c r="F8" s="149"/>
      <c r="G8" s="150"/>
    </row>
    <row r="9" spans="1:13" ht="15" customHeight="1">
      <c r="A9" s="147" t="s">
        <v>272</v>
      </c>
      <c r="B9" s="147"/>
      <c r="C9" s="147"/>
      <c r="D9" s="147"/>
      <c r="E9" s="147"/>
      <c r="F9" s="147"/>
      <c r="G9" s="147"/>
    </row>
    <row r="10" spans="1:13" ht="15" customHeight="1">
      <c r="B10" s="151" t="s">
        <v>273</v>
      </c>
      <c r="C10" s="152" t="s">
        <v>274</v>
      </c>
      <c r="D10" s="153"/>
      <c r="E10" s="153"/>
      <c r="F10" s="151" t="s">
        <v>273</v>
      </c>
      <c r="G10" s="152" t="s">
        <v>274</v>
      </c>
      <c r="H10" s="154"/>
      <c r="I10" s="98"/>
      <c r="J10" s="155"/>
      <c r="K10" s="98"/>
      <c r="L10" s="103"/>
    </row>
    <row r="11" spans="1:13" ht="15" customHeight="1">
      <c r="A11" s="146" t="s">
        <v>275</v>
      </c>
      <c r="B11" s="142">
        <v>2127.58</v>
      </c>
      <c r="C11" s="145">
        <v>16798636.264192738</v>
      </c>
      <c r="D11" s="156"/>
      <c r="E11" s="146" t="s">
        <v>276</v>
      </c>
      <c r="F11" s="142">
        <v>332.68999999999988</v>
      </c>
      <c r="G11" s="145">
        <v>3433399.6269999999</v>
      </c>
      <c r="H11" s="157">
        <f>+G11/F11</f>
        <v>10320.116706243052</v>
      </c>
      <c r="J11" s="155"/>
      <c r="K11" s="98"/>
      <c r="L11" s="103"/>
    </row>
    <row r="12" spans="1:13" ht="15" customHeight="1">
      <c r="D12" s="156"/>
      <c r="H12" s="158"/>
      <c r="I12" s="156"/>
      <c r="L12" s="159"/>
      <c r="M12" s="159"/>
    </row>
    <row r="13" spans="1:13" ht="15" customHeight="1">
      <c r="A13" s="146" t="s">
        <v>277</v>
      </c>
      <c r="B13" s="142">
        <v>4104.3</v>
      </c>
      <c r="C13" s="145">
        <v>43206003.922999993</v>
      </c>
      <c r="D13" s="156"/>
      <c r="E13" s="146" t="s">
        <v>278</v>
      </c>
      <c r="F13" s="142">
        <v>5683.63</v>
      </c>
      <c r="G13" s="145">
        <v>54251442.750323415</v>
      </c>
      <c r="H13" s="143"/>
      <c r="I13" s="160"/>
      <c r="J13" s="158" t="s">
        <v>279</v>
      </c>
    </row>
    <row r="14" spans="1:13" ht="15" customHeight="1">
      <c r="A14" s="146" t="s">
        <v>280</v>
      </c>
      <c r="B14" s="161">
        <v>0</v>
      </c>
      <c r="C14" s="162">
        <v>0</v>
      </c>
      <c r="D14" s="156"/>
      <c r="H14" s="159"/>
    </row>
    <row r="15" spans="1:13" ht="15" customHeight="1">
      <c r="B15" s="142">
        <f>B13-B14</f>
        <v>4104.3</v>
      </c>
      <c r="C15" s="145">
        <f>C13-C14</f>
        <v>43206003.922999993</v>
      </c>
      <c r="D15" s="156"/>
      <c r="E15" s="146" t="s">
        <v>281</v>
      </c>
      <c r="F15" s="142">
        <f>(B19)-SUM(F11:F14)</f>
        <v>215.5600000000004</v>
      </c>
      <c r="G15" s="145">
        <v>3042818.5774384569</v>
      </c>
      <c r="H15" s="163">
        <f>+G15/F15</f>
        <v>14115.87760919675</v>
      </c>
      <c r="J15" s="156"/>
    </row>
    <row r="16" spans="1:13" ht="15" customHeight="1">
      <c r="D16" s="156"/>
      <c r="H16" s="164"/>
      <c r="I16" s="164"/>
      <c r="J16" s="164"/>
    </row>
    <row r="17" spans="1:10" ht="15" customHeight="1">
      <c r="A17" s="146" t="s">
        <v>282</v>
      </c>
      <c r="C17" s="145">
        <f>+G19-C11-C15</f>
        <v>723020.7675691396</v>
      </c>
      <c r="D17" s="156"/>
      <c r="H17" s="164"/>
      <c r="I17" s="164"/>
      <c r="J17" s="164"/>
    </row>
    <row r="18" spans="1:10">
      <c r="D18" s="156"/>
      <c r="H18" s="164"/>
      <c r="I18" s="164"/>
      <c r="J18" s="164"/>
    </row>
    <row r="19" spans="1:10" ht="15" customHeight="1" thickBot="1">
      <c r="B19" s="165">
        <f>+B15+B11</f>
        <v>6231.88</v>
      </c>
      <c r="C19" s="166">
        <f>+C11+C15+C17</f>
        <v>60727660.95476187</v>
      </c>
      <c r="D19" s="167">
        <f>F19-B19</f>
        <v>0</v>
      </c>
      <c r="E19" s="167">
        <f>C19-G19</f>
        <v>0</v>
      </c>
      <c r="F19" s="168">
        <f>SUM(F11:F16)</f>
        <v>6231.88</v>
      </c>
      <c r="G19" s="169">
        <f>SUM(G11:G18)</f>
        <v>60727660.95476187</v>
      </c>
      <c r="H19" s="164"/>
      <c r="I19" s="164"/>
      <c r="J19" s="164"/>
    </row>
    <row r="20" spans="1:10" ht="15" customHeight="1" thickTop="1">
      <c r="H20" s="164"/>
      <c r="I20" s="164"/>
      <c r="J20" s="164"/>
    </row>
    <row r="21" spans="1:10" ht="15" customHeight="1">
      <c r="H21" s="164"/>
      <c r="I21" s="164"/>
      <c r="J21" s="164"/>
    </row>
    <row r="22" spans="1:10" ht="15" customHeight="1">
      <c r="A22" s="147" t="s">
        <v>283</v>
      </c>
      <c r="B22" s="147"/>
      <c r="C22" s="147"/>
      <c r="D22" s="147"/>
      <c r="E22" s="147"/>
      <c r="F22" s="147"/>
      <c r="G22" s="147"/>
      <c r="H22" s="164"/>
      <c r="I22" s="164"/>
      <c r="J22" s="164"/>
    </row>
    <row r="23" spans="1:10" ht="15" customHeight="1">
      <c r="B23" s="151" t="s">
        <v>273</v>
      </c>
      <c r="C23" s="152" t="s">
        <v>274</v>
      </c>
      <c r="D23" s="153"/>
      <c r="E23" s="153"/>
      <c r="F23" s="151" t="s">
        <v>273</v>
      </c>
      <c r="G23" s="152" t="s">
        <v>274</v>
      </c>
      <c r="H23" s="164"/>
      <c r="I23" s="164"/>
      <c r="J23" s="164"/>
    </row>
    <row r="24" spans="1:10" ht="15" customHeight="1">
      <c r="A24" s="146" t="s">
        <v>275</v>
      </c>
      <c r="B24" s="142">
        <v>32686.070999999934</v>
      </c>
      <c r="C24" s="145">
        <v>201955626.64022809</v>
      </c>
      <c r="D24" s="156"/>
      <c r="E24" s="146" t="s">
        <v>276</v>
      </c>
      <c r="F24" s="142">
        <v>15107.354999999958</v>
      </c>
      <c r="G24" s="145">
        <v>185744092.153</v>
      </c>
      <c r="H24" s="164"/>
      <c r="I24" s="164"/>
      <c r="J24" s="164"/>
    </row>
    <row r="25" spans="1:10" ht="15" customHeight="1">
      <c r="D25" s="156"/>
      <c r="E25" s="146" t="s">
        <v>284</v>
      </c>
      <c r="F25" s="161">
        <v>0</v>
      </c>
      <c r="G25" s="162">
        <v>0</v>
      </c>
      <c r="H25" s="164"/>
      <c r="I25" s="164"/>
      <c r="J25" s="164"/>
    </row>
    <row r="26" spans="1:10" ht="15" customHeight="1">
      <c r="A26" s="146" t="s">
        <v>277</v>
      </c>
      <c r="B26" s="142">
        <v>2477.42</v>
      </c>
      <c r="C26" s="145">
        <v>32858502.817999993</v>
      </c>
      <c r="D26" s="156"/>
      <c r="F26" s="142">
        <f>F24-F25</f>
        <v>15107.354999999958</v>
      </c>
      <c r="G26" s="145">
        <f>G24-G25</f>
        <v>185744092.153</v>
      </c>
      <c r="H26" s="164"/>
      <c r="I26" s="164"/>
      <c r="J26" s="164"/>
    </row>
    <row r="27" spans="1:10" ht="15" customHeight="1">
      <c r="A27" s="146" t="s">
        <v>280</v>
      </c>
      <c r="B27" s="161">
        <v>0</v>
      </c>
      <c r="C27" s="162">
        <v>0</v>
      </c>
      <c r="D27" s="156"/>
      <c r="H27" s="164"/>
      <c r="I27" s="170"/>
      <c r="J27" s="164"/>
    </row>
    <row r="28" spans="1:10" ht="15" customHeight="1">
      <c r="B28" s="142">
        <f>B26-B27</f>
        <v>2477.42</v>
      </c>
      <c r="C28" s="145">
        <f>C26-C27</f>
        <v>32858502.817999993</v>
      </c>
      <c r="D28" s="156"/>
      <c r="E28" s="146" t="s">
        <v>281</v>
      </c>
      <c r="F28" s="142">
        <f>+B36-F26</f>
        <v>75719.36599999998</v>
      </c>
      <c r="G28" s="145">
        <f>SUM(C24+C28+C30+C32)/B36*(F28)</f>
        <v>608061025.61812818</v>
      </c>
      <c r="H28" s="164"/>
      <c r="I28" s="164"/>
      <c r="J28" s="164"/>
    </row>
    <row r="29" spans="1:10" ht="15" customHeight="1">
      <c r="D29" s="156"/>
      <c r="H29" s="164"/>
      <c r="I29" s="164"/>
      <c r="J29" s="164"/>
    </row>
    <row r="30" spans="1:10" ht="15" customHeight="1">
      <c r="A30" s="158" t="s">
        <v>285</v>
      </c>
      <c r="B30" s="142">
        <v>55663.23</v>
      </c>
      <c r="C30" s="145">
        <v>494565843.49072063</v>
      </c>
      <c r="D30" s="156"/>
      <c r="H30" s="164"/>
      <c r="I30" s="164"/>
      <c r="J30" s="164"/>
    </row>
    <row r="31" spans="1:10" ht="15" customHeight="1">
      <c r="D31" s="156"/>
      <c r="H31" s="164"/>
      <c r="I31" s="164"/>
      <c r="J31" s="164"/>
    </row>
    <row r="32" spans="1:10" ht="15" customHeight="1">
      <c r="A32" s="146" t="s">
        <v>286</v>
      </c>
      <c r="C32" s="145">
        <v>0</v>
      </c>
      <c r="D32" s="156"/>
      <c r="H32" s="164"/>
      <c r="I32" s="164"/>
      <c r="J32" s="164"/>
    </row>
    <row r="33" spans="1:10" ht="15" customHeight="1">
      <c r="D33" s="156"/>
      <c r="H33" s="164"/>
      <c r="I33" s="164"/>
      <c r="J33" s="164"/>
    </row>
    <row r="34" spans="1:10" ht="15" customHeight="1">
      <c r="A34" s="146" t="s">
        <v>282</v>
      </c>
      <c r="C34" s="145">
        <f>G36-C24-C28-C30-C32</f>
        <v>64425144.822179556</v>
      </c>
      <c r="D34" s="156"/>
      <c r="H34" s="164"/>
      <c r="I34" s="164"/>
      <c r="J34" s="164"/>
    </row>
    <row r="35" spans="1:10">
      <c r="H35" s="164"/>
      <c r="I35" s="164"/>
      <c r="J35" s="164"/>
    </row>
    <row r="36" spans="1:10" ht="15" customHeight="1" thickBot="1">
      <c r="B36" s="165">
        <f>B24+B28+B30</f>
        <v>90826.720999999932</v>
      </c>
      <c r="C36" s="169">
        <f>C24+C28+C30+C34+C32</f>
        <v>793805117.7711283</v>
      </c>
      <c r="D36" s="167">
        <f>F36-B36</f>
        <v>0</v>
      </c>
      <c r="E36" s="167">
        <f>C36-G36</f>
        <v>0</v>
      </c>
      <c r="F36" s="168">
        <f>SUM(F26:F30)</f>
        <v>90826.720999999932</v>
      </c>
      <c r="G36" s="169">
        <f>SUM(G26:G30)</f>
        <v>793805117.77112818</v>
      </c>
      <c r="J36" s="164"/>
    </row>
    <row r="37" spans="1:10" ht="15" customHeight="1" thickTop="1">
      <c r="B37" s="171"/>
      <c r="C37" s="172"/>
      <c r="D37" s="156"/>
      <c r="E37" s="156"/>
      <c r="F37" s="173"/>
      <c r="G37" s="172"/>
      <c r="J37" s="164"/>
    </row>
    <row r="38" spans="1:10" ht="15" customHeight="1">
      <c r="B38" s="174"/>
      <c r="C38" s="172"/>
      <c r="D38" s="156"/>
      <c r="E38" s="156"/>
      <c r="G38" s="172"/>
      <c r="H38" s="164"/>
      <c r="I38" s="164"/>
      <c r="J38" s="164"/>
    </row>
    <row r="39" spans="1:10" ht="15" customHeight="1">
      <c r="A39" s="147" t="s">
        <v>287</v>
      </c>
      <c r="B39" s="147"/>
      <c r="C39" s="147"/>
      <c r="D39" s="147"/>
      <c r="E39" s="147"/>
      <c r="F39" s="147"/>
      <c r="G39" s="147"/>
      <c r="H39" s="156"/>
      <c r="I39" s="156"/>
      <c r="J39" s="156"/>
    </row>
    <row r="40" spans="1:10" ht="15" customHeight="1">
      <c r="B40" s="151" t="s">
        <v>273</v>
      </c>
      <c r="C40" s="152" t="s">
        <v>274</v>
      </c>
      <c r="D40" s="153"/>
      <c r="E40" s="153"/>
      <c r="F40" s="151" t="s">
        <v>273</v>
      </c>
      <c r="G40" s="152" t="s">
        <v>274</v>
      </c>
      <c r="J40" s="164"/>
    </row>
    <row r="41" spans="1:10" ht="15" customHeight="1">
      <c r="A41" s="146" t="s">
        <v>275</v>
      </c>
      <c r="B41" s="142">
        <v>33674.417999999961</v>
      </c>
      <c r="C41" s="145">
        <v>190783370.98359385</v>
      </c>
      <c r="D41" s="156"/>
      <c r="E41" s="146" t="s">
        <v>276</v>
      </c>
      <c r="F41" s="142">
        <v>12388.070999999984</v>
      </c>
      <c r="G41" s="172">
        <v>125015070.662</v>
      </c>
      <c r="H41" s="156">
        <f>+G41/F41</f>
        <v>10091.568789200528</v>
      </c>
      <c r="I41" s="156"/>
      <c r="J41" s="156"/>
    </row>
    <row r="42" spans="1:10" ht="15" customHeight="1">
      <c r="D42" s="156"/>
      <c r="E42" s="146" t="s">
        <v>288</v>
      </c>
      <c r="F42" s="161">
        <v>0</v>
      </c>
      <c r="G42" s="162">
        <v>0</v>
      </c>
      <c r="J42" s="164"/>
    </row>
    <row r="43" spans="1:10" ht="15" customHeight="1">
      <c r="A43" s="146" t="s">
        <v>277</v>
      </c>
      <c r="D43" s="156"/>
      <c r="F43" s="142">
        <f>F41-F42</f>
        <v>12388.070999999984</v>
      </c>
      <c r="G43" s="145">
        <f>G41-G42</f>
        <v>125015070.662</v>
      </c>
      <c r="H43" s="175"/>
      <c r="I43" s="175"/>
      <c r="J43" s="175"/>
    </row>
    <row r="44" spans="1:10" ht="15" customHeight="1">
      <c r="A44" s="146" t="s">
        <v>288</v>
      </c>
      <c r="B44" s="161">
        <v>0</v>
      </c>
      <c r="C44" s="162">
        <v>0</v>
      </c>
      <c r="D44" s="156"/>
      <c r="H44" s="158"/>
      <c r="I44" s="160"/>
      <c r="J44" s="158"/>
    </row>
    <row r="45" spans="1:10" ht="15" customHeight="1">
      <c r="B45" s="142">
        <f>B43-B44</f>
        <v>0</v>
      </c>
      <c r="C45" s="145">
        <f>C43-C44</f>
        <v>0</v>
      </c>
      <c r="D45" s="156"/>
      <c r="E45" s="146" t="s">
        <v>281</v>
      </c>
      <c r="F45" s="142">
        <f>+B53-F43</f>
        <v>82173.064999999988</v>
      </c>
      <c r="G45" s="145">
        <f>((C41+C45+C49+C47)/B53)*F45</f>
        <v>603226740.74670458</v>
      </c>
      <c r="H45" s="145">
        <f>+G45/F45</f>
        <v>7340.9302762006582</v>
      </c>
      <c r="I45" s="176"/>
      <c r="J45" s="158"/>
    </row>
    <row r="46" spans="1:10" ht="15" customHeight="1">
      <c r="D46" s="156"/>
      <c r="H46" s="177"/>
      <c r="I46" s="177"/>
      <c r="J46" s="177"/>
    </row>
    <row r="47" spans="1:10" ht="15" customHeight="1">
      <c r="A47" s="146" t="s">
        <v>285</v>
      </c>
      <c r="B47" s="173">
        <v>60886.718000000001</v>
      </c>
      <c r="C47" s="145">
        <v>503383335.23073393</v>
      </c>
      <c r="D47" s="156"/>
      <c r="H47" s="164"/>
    </row>
    <row r="48" spans="1:10" ht="15" customHeight="1">
      <c r="D48" s="156"/>
      <c r="H48" s="164"/>
    </row>
    <row r="49" spans="1:8" ht="15" customHeight="1">
      <c r="A49" s="146" t="s">
        <v>286</v>
      </c>
      <c r="C49" s="145">
        <v>0</v>
      </c>
      <c r="D49" s="156"/>
      <c r="H49" s="164"/>
    </row>
    <row r="50" spans="1:8" ht="15" customHeight="1">
      <c r="D50" s="156"/>
      <c r="H50" s="164"/>
    </row>
    <row r="51" spans="1:8" ht="15" customHeight="1">
      <c r="A51" s="146" t="s">
        <v>282</v>
      </c>
      <c r="C51" s="145">
        <f>+G53-(C41+C45++C47+C49)</f>
        <v>34075105.194376707</v>
      </c>
      <c r="D51" s="156"/>
      <c r="H51" s="164"/>
    </row>
    <row r="52" spans="1:8">
      <c r="H52" s="164"/>
    </row>
    <row r="53" spans="1:8" ht="15" customHeight="1" thickBot="1">
      <c r="B53" s="165">
        <f>+B41+B45+B47</f>
        <v>94561.135999999969</v>
      </c>
      <c r="C53" s="169">
        <f>C41+C45+C47+C51+C49</f>
        <v>728241811.40870452</v>
      </c>
      <c r="D53" s="167">
        <f>B53-F53</f>
        <v>0</v>
      </c>
      <c r="E53" s="167">
        <f>C53-G53</f>
        <v>0</v>
      </c>
      <c r="F53" s="168">
        <f>SUM(F43:F50)</f>
        <v>94561.135999999969</v>
      </c>
      <c r="G53" s="169">
        <f>SUM(G43:G50)</f>
        <v>728241811.40870452</v>
      </c>
    </row>
    <row r="54" spans="1:8" ht="15" customHeight="1" thickTop="1">
      <c r="B54" s="171"/>
      <c r="C54" s="172"/>
      <c r="D54" s="156"/>
      <c r="E54" s="156"/>
      <c r="F54" s="173"/>
      <c r="G54" s="172"/>
    </row>
    <row r="55" spans="1:8" ht="15" customHeight="1">
      <c r="B55" s="171"/>
      <c r="C55" s="172"/>
      <c r="D55" s="156"/>
      <c r="E55" s="156"/>
      <c r="F55" s="173"/>
      <c r="G55" s="172"/>
    </row>
    <row r="56" spans="1:8" ht="15" customHeight="1">
      <c r="B56" s="174"/>
      <c r="C56" s="172"/>
      <c r="D56" s="156"/>
      <c r="E56" s="156"/>
      <c r="G56" s="172"/>
    </row>
    <row r="57" spans="1:8" ht="15" customHeight="1">
      <c r="A57" s="175" t="s">
        <v>289</v>
      </c>
      <c r="B57" s="175"/>
      <c r="C57" s="175"/>
      <c r="D57" s="175" t="s">
        <v>290</v>
      </c>
      <c r="E57" s="175"/>
      <c r="F57" s="175"/>
      <c r="G57" s="175"/>
    </row>
    <row r="58" spans="1:8" ht="15" customHeight="1">
      <c r="A58" s="177" t="s">
        <v>291</v>
      </c>
      <c r="B58" s="177"/>
      <c r="C58" s="177"/>
      <c r="D58" s="177" t="s">
        <v>292</v>
      </c>
      <c r="E58" s="177"/>
      <c r="F58" s="177"/>
      <c r="G58" s="177"/>
    </row>
    <row r="59" spans="1:8" ht="15" customHeight="1">
      <c r="A59" s="178"/>
      <c r="B59" s="179"/>
      <c r="C59" s="180"/>
      <c r="D59" s="177" t="s">
        <v>293</v>
      </c>
      <c r="E59" s="177"/>
      <c r="F59" s="177"/>
      <c r="G59" s="177"/>
    </row>
    <row r="60" spans="1:8" ht="15" customHeight="1">
      <c r="A60" s="156"/>
      <c r="C60" s="172"/>
      <c r="D60" s="177"/>
      <c r="E60" s="177"/>
      <c r="F60" s="177"/>
      <c r="G60" s="177"/>
    </row>
    <row r="61" spans="1:8" ht="15" customHeight="1">
      <c r="D61" s="181" t="s">
        <v>294</v>
      </c>
      <c r="E61" s="181"/>
      <c r="F61" s="181"/>
      <c r="G61" s="181"/>
    </row>
    <row r="62" spans="1:8" ht="15" customHeight="1">
      <c r="A62" s="158" t="s">
        <v>295</v>
      </c>
      <c r="B62" s="181" t="s">
        <v>296</v>
      </c>
      <c r="C62" s="181"/>
      <c r="D62" s="177" t="s">
        <v>297</v>
      </c>
      <c r="E62" s="177"/>
      <c r="F62" s="177"/>
      <c r="G62" s="177"/>
      <c r="H62" s="156"/>
    </row>
    <row r="63" spans="1:8" ht="15" customHeight="1">
      <c r="A63" s="158" t="s">
        <v>298</v>
      </c>
      <c r="B63" s="181" t="s">
        <v>298</v>
      </c>
      <c r="C63" s="181"/>
      <c r="D63" s="177" t="s">
        <v>299</v>
      </c>
      <c r="E63" s="177"/>
      <c r="F63" s="177"/>
      <c r="G63" s="177"/>
    </row>
    <row r="64" spans="1:8" ht="15" customHeight="1">
      <c r="A64" s="158" t="s">
        <v>300</v>
      </c>
      <c r="B64" s="181" t="s">
        <v>301</v>
      </c>
      <c r="C64" s="181"/>
      <c r="D64" s="177" t="s">
        <v>302</v>
      </c>
      <c r="E64" s="177"/>
      <c r="F64" s="177"/>
      <c r="G64" s="177"/>
    </row>
    <row r="65" spans="1:7" ht="15" customHeight="1">
      <c r="A65" s="141" t="str">
        <f>+A1</f>
        <v>Shree Jewellers Eximp Private Limited</v>
      </c>
      <c r="C65" s="143"/>
      <c r="D65" s="144"/>
      <c r="E65" s="144"/>
    </row>
    <row r="66" spans="1:7" ht="15" customHeight="1">
      <c r="A66" s="141" t="str">
        <f>+A2</f>
        <v>3-6-354/1,2 &amp;18 Basheerbagh Branch</v>
      </c>
      <c r="C66" s="143"/>
      <c r="D66" s="144"/>
      <c r="G66" s="143" t="str">
        <f>G2</f>
        <v>AY 2026-2027</v>
      </c>
    </row>
    <row r="67" spans="1:7" ht="15" customHeight="1">
      <c r="A67" s="141" t="str">
        <f>+A3</f>
        <v>Hyderabad - 500029</v>
      </c>
      <c r="C67" s="143"/>
      <c r="D67" s="144"/>
    </row>
    <row r="68" spans="1:7" ht="15" customHeight="1">
      <c r="A68" s="146" t="str">
        <f>+A4</f>
        <v>CIN:U51398TG1997PTC026740</v>
      </c>
      <c r="B68" s="174"/>
      <c r="C68" s="172"/>
      <c r="D68" s="156"/>
      <c r="E68" s="156"/>
      <c r="G68" s="172"/>
    </row>
    <row r="69" spans="1:7" ht="15" customHeight="1">
      <c r="B69" s="174"/>
      <c r="C69" s="172"/>
      <c r="D69" s="156"/>
      <c r="E69" s="156"/>
      <c r="G69" s="172"/>
    </row>
    <row r="70" spans="1:7" ht="15" customHeight="1">
      <c r="B70" s="174"/>
      <c r="C70" s="172"/>
      <c r="D70" s="156"/>
      <c r="E70" s="156"/>
      <c r="G70" s="172"/>
    </row>
    <row r="71" spans="1:7" ht="15" customHeight="1">
      <c r="A71" s="147" t="s">
        <v>303</v>
      </c>
      <c r="B71" s="147"/>
      <c r="C71" s="147"/>
      <c r="D71" s="147"/>
      <c r="E71" s="147"/>
      <c r="F71" s="147"/>
      <c r="G71" s="147"/>
    </row>
    <row r="72" spans="1:7" ht="15" customHeight="1">
      <c r="B72" s="151" t="s">
        <v>273</v>
      </c>
      <c r="C72" s="152" t="s">
        <v>274</v>
      </c>
      <c r="D72" s="153"/>
      <c r="E72" s="153"/>
      <c r="F72" s="151" t="s">
        <v>273</v>
      </c>
      <c r="G72" s="152" t="s">
        <v>274</v>
      </c>
    </row>
    <row r="73" spans="1:7" ht="15" customHeight="1">
      <c r="B73" s="182"/>
      <c r="C73" s="152"/>
      <c r="D73" s="153"/>
      <c r="E73" s="153"/>
      <c r="F73" s="182"/>
      <c r="G73" s="152"/>
    </row>
    <row r="74" spans="1:7" ht="15" customHeight="1">
      <c r="A74" s="146" t="s">
        <v>275</v>
      </c>
      <c r="B74" s="142">
        <v>1047.8490000000002</v>
      </c>
      <c r="C74" s="145">
        <v>5214821.5402473947</v>
      </c>
      <c r="D74" s="156"/>
      <c r="E74" s="146" t="s">
        <v>276</v>
      </c>
      <c r="F74" s="142">
        <v>231.73000000000002</v>
      </c>
      <c r="G74" s="145">
        <v>1989631.5420000001</v>
      </c>
    </row>
    <row r="75" spans="1:7" ht="15" customHeight="1">
      <c r="D75" s="156"/>
      <c r="G75" s="172"/>
    </row>
    <row r="76" spans="1:7" ht="15" customHeight="1">
      <c r="A76" s="146" t="s">
        <v>277</v>
      </c>
      <c r="B76" s="142">
        <v>0</v>
      </c>
      <c r="C76" s="145">
        <v>0</v>
      </c>
      <c r="D76" s="156"/>
      <c r="E76" s="146" t="s">
        <v>281</v>
      </c>
      <c r="F76" s="142">
        <f>B84-F74</f>
        <v>1130.0859999999998</v>
      </c>
      <c r="G76" s="145">
        <f>((C74+C80+C78)/B84)*F76</f>
        <v>6702119.4559568875</v>
      </c>
    </row>
    <row r="77" spans="1:7" ht="15" customHeight="1">
      <c r="A77" s="146" t="s">
        <v>280</v>
      </c>
      <c r="B77" s="161">
        <v>0</v>
      </c>
      <c r="C77" s="162">
        <v>0</v>
      </c>
      <c r="D77" s="156"/>
    </row>
    <row r="78" spans="1:7" ht="15" customHeight="1">
      <c r="B78" s="142">
        <f>B76-B77</f>
        <v>0</v>
      </c>
      <c r="C78" s="145">
        <f>C76-C77</f>
        <v>0</v>
      </c>
      <c r="D78" s="156"/>
    </row>
    <row r="79" spans="1:7" ht="15" customHeight="1">
      <c r="D79" s="156"/>
    </row>
    <row r="80" spans="1:7" ht="15" customHeight="1">
      <c r="A80" s="146" t="s">
        <v>285</v>
      </c>
      <c r="B80" s="142">
        <v>313.96699999999964</v>
      </c>
      <c r="C80" s="145">
        <v>2861602.2974369805</v>
      </c>
      <c r="D80" s="156"/>
    </row>
    <row r="81" spans="1:7" ht="15" customHeight="1">
      <c r="D81" s="156"/>
    </row>
    <row r="82" spans="1:7" ht="15" customHeight="1">
      <c r="A82" s="146" t="s">
        <v>282</v>
      </c>
      <c r="C82" s="145">
        <f>G84-(C74+C78+C80)</f>
        <v>615327.16027251165</v>
      </c>
      <c r="D82" s="156"/>
    </row>
    <row r="84" spans="1:7" ht="15" customHeight="1" thickBot="1">
      <c r="B84" s="165">
        <f>+B74+B78+B80</f>
        <v>1361.8159999999998</v>
      </c>
      <c r="C84" s="169">
        <f>C74+C78+C80+C82</f>
        <v>8691750.9979568869</v>
      </c>
      <c r="D84" s="167">
        <f>B84-F84</f>
        <v>0</v>
      </c>
      <c r="E84" s="167">
        <f>C84-G84</f>
        <v>0</v>
      </c>
      <c r="F84" s="168">
        <f>SUM(F74:F81)</f>
        <v>1361.8159999999998</v>
      </c>
      <c r="G84" s="169">
        <f>SUM(G74:G81)</f>
        <v>8691750.9979568869</v>
      </c>
    </row>
    <row r="85" spans="1:7" ht="15" customHeight="1" thickTop="1">
      <c r="B85" s="171"/>
      <c r="C85" s="172"/>
      <c r="D85" s="164"/>
      <c r="E85" s="156"/>
      <c r="F85" s="173"/>
      <c r="G85" s="172"/>
    </row>
    <row r="86" spans="1:7" ht="15" customHeight="1">
      <c r="C86" s="172"/>
      <c r="E86" s="156"/>
      <c r="G86" s="172"/>
    </row>
    <row r="87" spans="1:7" ht="15" customHeight="1">
      <c r="A87" s="183" t="s">
        <v>304</v>
      </c>
      <c r="B87" s="183"/>
      <c r="C87" s="183"/>
      <c r="D87" s="183"/>
      <c r="E87" s="183"/>
      <c r="F87" s="183"/>
      <c r="G87" s="183"/>
    </row>
    <row r="88" spans="1:7" ht="15" customHeight="1">
      <c r="B88" s="151" t="s">
        <v>273</v>
      </c>
      <c r="C88" s="184" t="s">
        <v>274</v>
      </c>
      <c r="F88" s="151" t="s">
        <v>273</v>
      </c>
      <c r="G88" s="184" t="s">
        <v>274</v>
      </c>
    </row>
    <row r="89" spans="1:7" ht="15" customHeight="1">
      <c r="C89" s="172"/>
      <c r="G89" s="172"/>
    </row>
    <row r="90" spans="1:7" ht="15" customHeight="1">
      <c r="A90" s="146" t="s">
        <v>275</v>
      </c>
      <c r="B90" s="142">
        <v>94754.739999999991</v>
      </c>
      <c r="C90" s="145">
        <v>7220770.0663112225</v>
      </c>
      <c r="E90" s="146" t="s">
        <v>276</v>
      </c>
      <c r="F90" s="142">
        <v>56363.145000000004</v>
      </c>
      <c r="G90" s="145">
        <v>9476551.3849999998</v>
      </c>
    </row>
    <row r="91" spans="1:7" ht="15" customHeight="1">
      <c r="C91" s="172"/>
      <c r="G91" s="172"/>
    </row>
    <row r="92" spans="1:7" ht="15" customHeight="1">
      <c r="A92" s="146" t="s">
        <v>277</v>
      </c>
      <c r="B92" s="142">
        <v>0</v>
      </c>
      <c r="C92" s="145">
        <v>0</v>
      </c>
      <c r="E92" s="146" t="s">
        <v>281</v>
      </c>
      <c r="F92" s="142">
        <f>B100-F90</f>
        <v>118656.675</v>
      </c>
      <c r="G92" s="145">
        <f>((C90+C94+C96)/(B90+B94+B96))*F92</f>
        <v>11258536.27263895</v>
      </c>
    </row>
    <row r="93" spans="1:7" ht="15" customHeight="1">
      <c r="A93" s="146" t="s">
        <v>288</v>
      </c>
      <c r="B93" s="161">
        <v>0</v>
      </c>
      <c r="C93" s="162">
        <v>0</v>
      </c>
    </row>
    <row r="94" spans="1:7" ht="15" customHeight="1">
      <c r="B94" s="142">
        <f>B92-B93</f>
        <v>0</v>
      </c>
      <c r="C94" s="145">
        <f>C92-C93</f>
        <v>0</v>
      </c>
    </row>
    <row r="96" spans="1:7" ht="15" customHeight="1">
      <c r="A96" s="146" t="s">
        <v>285</v>
      </c>
      <c r="B96" s="142">
        <v>80265.08</v>
      </c>
      <c r="C96" s="145">
        <v>9385687.1085652858</v>
      </c>
    </row>
    <row r="97" spans="1:10" ht="15" customHeight="1">
      <c r="C97" s="172"/>
      <c r="G97" s="172"/>
    </row>
    <row r="98" spans="1:10" ht="15" customHeight="1">
      <c r="A98" s="146" t="s">
        <v>282</v>
      </c>
      <c r="C98" s="172">
        <f>G100-SUM(C90+C94+C96)</f>
        <v>4128630.4827624448</v>
      </c>
      <c r="G98" s="172"/>
    </row>
    <row r="99" spans="1:10" ht="15" customHeight="1">
      <c r="C99" s="172"/>
      <c r="G99" s="172"/>
    </row>
    <row r="100" spans="1:10" ht="15" customHeight="1" thickBot="1">
      <c r="B100" s="168">
        <f>B90+B94+B96</f>
        <v>175019.82</v>
      </c>
      <c r="C100" s="169">
        <f>C90+C94+C98+C96</f>
        <v>20735087.657638952</v>
      </c>
      <c r="D100" s="167">
        <f>B100-F100</f>
        <v>0</v>
      </c>
      <c r="E100" s="167">
        <f>G100-C100</f>
        <v>0</v>
      </c>
      <c r="F100" s="168">
        <f>SUM(F90:F92)</f>
        <v>175019.82</v>
      </c>
      <c r="G100" s="169">
        <f>SUM(G90:G92)</f>
        <v>20735087.657638952</v>
      </c>
    </row>
    <row r="101" spans="1:10" ht="15" customHeight="1" thickTop="1">
      <c r="B101" s="173"/>
      <c r="C101" s="172"/>
      <c r="D101" s="156"/>
      <c r="E101" s="156"/>
      <c r="F101" s="173"/>
      <c r="G101" s="172"/>
    </row>
    <row r="102" spans="1:10" ht="15" customHeight="1">
      <c r="B102" s="173"/>
      <c r="C102" s="172"/>
      <c r="D102" s="156"/>
      <c r="E102" s="156"/>
      <c r="F102" s="173"/>
      <c r="G102" s="172"/>
    </row>
    <row r="103" spans="1:10" ht="15" customHeight="1">
      <c r="A103" s="147" t="s">
        <v>305</v>
      </c>
      <c r="B103" s="147"/>
      <c r="C103" s="147"/>
      <c r="D103" s="147"/>
      <c r="E103" s="147"/>
      <c r="F103" s="147"/>
      <c r="G103" s="147"/>
    </row>
    <row r="104" spans="1:10" ht="15" customHeight="1">
      <c r="B104" s="151" t="s">
        <v>306</v>
      </c>
      <c r="C104" s="152" t="s">
        <v>274</v>
      </c>
      <c r="D104" s="153"/>
      <c r="E104" s="153"/>
      <c r="F104" s="151" t="s">
        <v>306</v>
      </c>
      <c r="G104" s="152" t="s">
        <v>274</v>
      </c>
    </row>
    <row r="105" spans="1:10" ht="15" customHeight="1">
      <c r="A105" s="146" t="s">
        <v>275</v>
      </c>
      <c r="B105" s="142">
        <f>+[1]Dia!B84</f>
        <v>7105.4599999999991</v>
      </c>
      <c r="C105" s="145">
        <f>+[1]Dia!C84</f>
        <v>171504490.48357975</v>
      </c>
      <c r="D105" s="156"/>
      <c r="E105" s="146" t="s">
        <v>276</v>
      </c>
      <c r="F105" s="142">
        <f>+[1]Dia!U84</f>
        <v>2541.5249999999983</v>
      </c>
      <c r="G105" s="145">
        <f>+[1]Dia!V84</f>
        <v>88687789.555999994</v>
      </c>
    </row>
    <row r="106" spans="1:10" ht="15" customHeight="1">
      <c r="D106" s="156"/>
      <c r="G106" s="172"/>
    </row>
    <row r="107" spans="1:10" ht="15" customHeight="1">
      <c r="A107" s="146" t="s">
        <v>277</v>
      </c>
      <c r="B107" s="142">
        <f>+[1]Dia!D84</f>
        <v>0</v>
      </c>
      <c r="C107" s="145">
        <f>+[1]Dia!E84</f>
        <v>0</v>
      </c>
      <c r="D107" s="156"/>
      <c r="I107" s="159"/>
    </row>
    <row r="108" spans="1:10" ht="15" customHeight="1">
      <c r="D108" s="156"/>
      <c r="I108" s="159"/>
    </row>
    <row r="109" spans="1:10" ht="15" customHeight="1">
      <c r="A109" s="146" t="s">
        <v>285</v>
      </c>
      <c r="B109" s="142">
        <f>+[1]Dia!H84-[1]Dia!Q84</f>
        <v>2817.2600000000011</v>
      </c>
      <c r="C109" s="145">
        <f>+[1]Dia!I84-[1]Dia!R84</f>
        <v>98109516.269842029</v>
      </c>
      <c r="D109" s="156"/>
      <c r="E109" s="146" t="s">
        <v>281</v>
      </c>
      <c r="F109" s="142">
        <f>+[1]Dia!W84</f>
        <v>7381.1949999999997</v>
      </c>
      <c r="G109" s="145">
        <f>+[1]Dia!X84</f>
        <v>194474851.16511458</v>
      </c>
      <c r="I109" s="159"/>
    </row>
    <row r="110" spans="1:10" ht="15" customHeight="1">
      <c r="C110" s="172"/>
      <c r="D110" s="156"/>
    </row>
    <row r="111" spans="1:10" ht="15" customHeight="1">
      <c r="A111" s="146" t="s">
        <v>282</v>
      </c>
      <c r="C111" s="145">
        <f>G113-SUM(C105:C109)</f>
        <v>13548633.967692792</v>
      </c>
      <c r="D111" s="156"/>
    </row>
    <row r="112" spans="1:10" ht="15" customHeight="1">
      <c r="J112" s="159"/>
    </row>
    <row r="113" spans="1:7" ht="15" customHeight="1" thickBot="1">
      <c r="A113" s="185"/>
      <c r="B113" s="165">
        <f>SUM(B105:B110)</f>
        <v>9922.7200000000012</v>
      </c>
      <c r="C113" s="169">
        <f>SUM(C105:C111)</f>
        <v>283162640.72111458</v>
      </c>
      <c r="D113" s="167">
        <f>B113-F113</f>
        <v>0</v>
      </c>
      <c r="E113" s="167">
        <f>C113-G113</f>
        <v>0</v>
      </c>
      <c r="F113" s="168">
        <f>SUM(F105:F110)</f>
        <v>9922.7199999999975</v>
      </c>
      <c r="G113" s="169">
        <f>SUM(G105:G110)</f>
        <v>283162640.72111458</v>
      </c>
    </row>
    <row r="114" spans="1:7" ht="15" customHeight="1" thickTop="1">
      <c r="A114" s="185"/>
      <c r="B114" s="171"/>
      <c r="C114" s="172"/>
      <c r="D114" s="156"/>
      <c r="E114" s="156"/>
      <c r="F114" s="173"/>
      <c r="G114" s="172"/>
    </row>
    <row r="115" spans="1:7" ht="15" customHeight="1">
      <c r="B115" s="173"/>
      <c r="C115" s="172"/>
      <c r="D115" s="156"/>
      <c r="E115" s="156"/>
      <c r="F115" s="173"/>
      <c r="G115" s="172"/>
    </row>
    <row r="116" spans="1:7" ht="15" customHeight="1">
      <c r="C116" s="172"/>
      <c r="D116" s="156"/>
      <c r="E116" s="156"/>
      <c r="G116" s="172"/>
    </row>
    <row r="117" spans="1:7" ht="15" customHeight="1">
      <c r="A117" s="175" t="str">
        <f>+A57</f>
        <v>on behalf of Board</v>
      </c>
      <c r="B117" s="175"/>
      <c r="C117" s="175"/>
      <c r="D117" s="175" t="str">
        <f>+D57</f>
        <v>For HARI AGARWAL &amp; ASSOCIATES</v>
      </c>
      <c r="E117" s="175"/>
      <c r="F117" s="175"/>
      <c r="G117" s="175"/>
    </row>
    <row r="118" spans="1:7" ht="15" customHeight="1">
      <c r="A118" s="175" t="str">
        <f>+A58</f>
        <v>for Shree Jewellers Eximp Pvt Ltd</v>
      </c>
      <c r="B118" s="175"/>
      <c r="C118" s="175"/>
      <c r="D118" s="175" t="str">
        <f>+D58</f>
        <v>Chartered Accountants</v>
      </c>
      <c r="E118" s="175"/>
      <c r="F118" s="175"/>
      <c r="G118" s="175"/>
    </row>
    <row r="119" spans="1:7" ht="15" customHeight="1">
      <c r="A119" s="178"/>
      <c r="B119" s="179"/>
      <c r="C119" s="180"/>
      <c r="D119" s="177" t="str">
        <f>+D59</f>
        <v>FRN 001062S</v>
      </c>
      <c r="E119" s="177"/>
      <c r="F119" s="177"/>
      <c r="G119" s="177"/>
    </row>
    <row r="120" spans="1:7" ht="15" customHeight="1">
      <c r="A120" s="156"/>
      <c r="C120" s="172"/>
      <c r="D120" s="177"/>
      <c r="E120" s="177"/>
      <c r="F120" s="177"/>
      <c r="G120" s="177"/>
    </row>
    <row r="121" spans="1:7" ht="15" customHeight="1">
      <c r="A121" s="156"/>
      <c r="C121" s="172"/>
      <c r="D121" s="177"/>
      <c r="E121" s="177"/>
      <c r="F121" s="177"/>
      <c r="G121" s="177"/>
    </row>
    <row r="122" spans="1:7" ht="15" customHeight="1">
      <c r="D122" s="177"/>
      <c r="E122" s="177"/>
      <c r="F122" s="177"/>
      <c r="G122" s="177"/>
    </row>
    <row r="123" spans="1:7" ht="15" customHeight="1">
      <c r="A123" s="158" t="str">
        <f>+A62</f>
        <v>Abhishek Agarwal</v>
      </c>
      <c r="C123" s="143" t="str">
        <f>+B62</f>
        <v>Kaushik Kumar</v>
      </c>
      <c r="D123" s="177" t="str">
        <f>+D62</f>
        <v>Hari Agarwal</v>
      </c>
      <c r="E123" s="177"/>
      <c r="F123" s="177"/>
      <c r="G123" s="177"/>
    </row>
    <row r="124" spans="1:7" ht="15" customHeight="1">
      <c r="A124" s="158" t="str">
        <f>+A63</f>
        <v>Director</v>
      </c>
      <c r="C124" s="143" t="str">
        <f>+B63</f>
        <v>Director</v>
      </c>
      <c r="D124" s="177" t="str">
        <f>+D63</f>
        <v>Partner</v>
      </c>
      <c r="E124" s="177"/>
      <c r="F124" s="177"/>
      <c r="G124" s="177"/>
    </row>
    <row r="125" spans="1:7" ht="15" customHeight="1">
      <c r="A125" s="158" t="str">
        <f>+A64</f>
        <v>DIN: 00518139</v>
      </c>
      <c r="C125" s="143" t="str">
        <f>+B64</f>
        <v>DIN: 03047394</v>
      </c>
      <c r="D125" s="177" t="str">
        <f>+D64</f>
        <v>M No 026059</v>
      </c>
      <c r="E125" s="177"/>
      <c r="F125" s="177"/>
      <c r="G125" s="177"/>
    </row>
    <row r="126" spans="1:7" ht="15" customHeight="1">
      <c r="A126" s="146" t="str">
        <f>+A1</f>
        <v>Shree Jewellers Eximp Private Limited</v>
      </c>
      <c r="C126" s="172"/>
    </row>
    <row r="127" spans="1:7" ht="15" customHeight="1">
      <c r="A127" s="146" t="str">
        <f>+A2</f>
        <v>3-6-354/1,2 &amp;18 Basheerbagh Branch</v>
      </c>
      <c r="C127" s="172"/>
      <c r="G127" s="180" t="str">
        <f>G2</f>
        <v>AY 2026-2027</v>
      </c>
    </row>
    <row r="128" spans="1:7" ht="15" customHeight="1">
      <c r="A128" s="146" t="str">
        <f>+A3</f>
        <v>Hyderabad - 500029</v>
      </c>
      <c r="C128" s="172"/>
      <c r="G128" s="172"/>
    </row>
    <row r="129" spans="1:11" ht="15" customHeight="1">
      <c r="A129" s="146" t="str">
        <f>+A4</f>
        <v>CIN:U51398TG1997PTC026740</v>
      </c>
      <c r="C129" s="172"/>
      <c r="E129" s="156"/>
      <c r="G129" s="172"/>
    </row>
    <row r="130" spans="1:11" ht="15" customHeight="1">
      <c r="C130" s="172"/>
      <c r="E130" s="156"/>
      <c r="G130" s="172"/>
    </row>
    <row r="131" spans="1:11" ht="15" customHeight="1">
      <c r="C131" s="172"/>
      <c r="G131" s="172"/>
    </row>
    <row r="132" spans="1:11" ht="15" customHeight="1">
      <c r="A132" s="147" t="s">
        <v>307</v>
      </c>
      <c r="B132" s="147"/>
      <c r="C132" s="147"/>
      <c r="D132" s="147"/>
      <c r="E132" s="147"/>
      <c r="F132" s="147"/>
      <c r="G132" s="147"/>
    </row>
    <row r="133" spans="1:11" ht="15" customHeight="1">
      <c r="B133" s="151" t="s">
        <v>306</v>
      </c>
      <c r="C133" s="152" t="s">
        <v>274</v>
      </c>
      <c r="D133" s="153"/>
      <c r="E133" s="153"/>
      <c r="F133" s="151" t="s">
        <v>306</v>
      </c>
      <c r="G133" s="152" t="s">
        <v>274</v>
      </c>
    </row>
    <row r="134" spans="1:11" ht="15" customHeight="1">
      <c r="A134" s="146" t="s">
        <v>275</v>
      </c>
      <c r="B134" s="142">
        <f>+[1]Eme!B62</f>
        <v>12561.88</v>
      </c>
      <c r="C134" s="145">
        <f>+[1]Eme!C62</f>
        <v>4745374.2122262893</v>
      </c>
      <c r="D134" s="156"/>
      <c r="E134" s="146" t="s">
        <v>276</v>
      </c>
      <c r="F134" s="142">
        <f>+[1]Eme!U62</f>
        <v>4145.7900000000027</v>
      </c>
      <c r="G134" s="145">
        <f>+[1]Eme!V62</f>
        <v>2596585.517</v>
      </c>
    </row>
    <row r="135" spans="1:11" ht="15" customHeight="1">
      <c r="D135" s="156"/>
      <c r="G135" s="172"/>
    </row>
    <row r="136" spans="1:11" ht="15" customHeight="1">
      <c r="A136" s="146" t="s">
        <v>277</v>
      </c>
      <c r="B136" s="142">
        <f>+[1]Eme!D62</f>
        <v>0</v>
      </c>
      <c r="C136" s="145">
        <f>+[1]Eme!E62</f>
        <v>0</v>
      </c>
      <c r="D136" s="156"/>
    </row>
    <row r="137" spans="1:11" ht="15" customHeight="1">
      <c r="D137" s="156"/>
    </row>
    <row r="138" spans="1:11" ht="15" customHeight="1">
      <c r="A138" s="146" t="s">
        <v>285</v>
      </c>
      <c r="B138" s="142">
        <f>+[1]Eme!H62-[1]Eme!Q62</f>
        <v>2585.3399999999992</v>
      </c>
      <c r="C138" s="145">
        <f>+[1]Eme!I62-[1]Eme!R62</f>
        <v>-1956708.4918691604</v>
      </c>
      <c r="D138" s="156"/>
      <c r="E138" s="146" t="s">
        <v>281</v>
      </c>
      <c r="F138" s="142">
        <f>[1]Eme!W62</f>
        <v>11001.43</v>
      </c>
      <c r="G138" s="145">
        <f>[1]Eme!X62</f>
        <v>923303.5853832491</v>
      </c>
    </row>
    <row r="139" spans="1:11" ht="15" customHeight="1">
      <c r="D139" s="156"/>
      <c r="J139" s="186"/>
      <c r="K139" s="186"/>
    </row>
    <row r="140" spans="1:11" ht="15" customHeight="1">
      <c r="A140" s="146" t="s">
        <v>282</v>
      </c>
      <c r="C140" s="145">
        <f>G142-C134-C136-C138</f>
        <v>731223.38202612009</v>
      </c>
      <c r="D140" s="156"/>
    </row>
    <row r="142" spans="1:11" ht="15" customHeight="1" thickBot="1">
      <c r="B142" s="165">
        <f>SUM(B134:B139)</f>
        <v>15147.219999999998</v>
      </c>
      <c r="C142" s="169">
        <f>C134+C136+C140+C138</f>
        <v>3519889.102383249</v>
      </c>
      <c r="D142" s="167">
        <f>B142-F142</f>
        <v>0</v>
      </c>
      <c r="E142" s="167">
        <f>C142-G142</f>
        <v>0</v>
      </c>
      <c r="F142" s="168">
        <f>SUM(F134:F139)</f>
        <v>15147.220000000003</v>
      </c>
      <c r="G142" s="169">
        <f>SUM(G134:G139)</f>
        <v>3519889.102383249</v>
      </c>
    </row>
    <row r="143" spans="1:11" ht="15" customHeight="1" thickTop="1">
      <c r="C143" s="172"/>
      <c r="G143" s="172"/>
    </row>
    <row r="144" spans="1:11" ht="15" customHeight="1">
      <c r="C144" s="172"/>
      <c r="G144" s="172"/>
    </row>
    <row r="145" spans="1:7" ht="15" customHeight="1">
      <c r="A145" s="183" t="s">
        <v>308</v>
      </c>
      <c r="B145" s="183"/>
      <c r="C145" s="183"/>
      <c r="D145" s="183"/>
      <c r="E145" s="183"/>
      <c r="F145" s="183"/>
      <c r="G145" s="183"/>
    </row>
    <row r="146" spans="1:7" ht="15" customHeight="1">
      <c r="B146" s="151" t="s">
        <v>306</v>
      </c>
      <c r="C146" s="152" t="s">
        <v>274</v>
      </c>
      <c r="F146" s="151" t="s">
        <v>306</v>
      </c>
      <c r="G146" s="152" t="s">
        <v>274</v>
      </c>
    </row>
    <row r="147" spans="1:7" ht="15" customHeight="1">
      <c r="A147" s="146" t="s">
        <v>275</v>
      </c>
      <c r="B147" s="142">
        <f>+[1]Rubi!B40</f>
        <v>5816.61</v>
      </c>
      <c r="C147" s="145">
        <f>+[1]Rubi!C40</f>
        <v>2426140.2081927308</v>
      </c>
      <c r="E147" s="146" t="s">
        <v>276</v>
      </c>
      <c r="F147" s="142">
        <f>[1]Rubi!U40</f>
        <v>1631.8049999999978</v>
      </c>
      <c r="G147" s="172">
        <f>[1]Rubi!V40</f>
        <v>750427.1</v>
      </c>
    </row>
    <row r="148" spans="1:7" ht="15" customHeight="1">
      <c r="C148" s="172"/>
      <c r="G148" s="172"/>
    </row>
    <row r="149" spans="1:7" ht="15" customHeight="1">
      <c r="A149" s="146" t="s">
        <v>277</v>
      </c>
      <c r="B149" s="142">
        <f>[1]Rubi!D40</f>
        <v>0</v>
      </c>
      <c r="C149" s="172">
        <f>[1]Rubi!E40</f>
        <v>0</v>
      </c>
      <c r="E149" s="146" t="s">
        <v>278</v>
      </c>
      <c r="F149" s="142">
        <f>+[1]Rubi!S40-[1]Rubi!H40</f>
        <v>-92.7199999999998</v>
      </c>
      <c r="G149" s="145">
        <f>+[1]Rubi!T40-[1]Rubi!I40</f>
        <v>1366604.1617688118</v>
      </c>
    </row>
    <row r="150" spans="1:7" ht="15" customHeight="1">
      <c r="C150" s="172"/>
    </row>
    <row r="151" spans="1:7" ht="15" customHeight="1">
      <c r="A151" s="146" t="s">
        <v>282</v>
      </c>
      <c r="C151" s="172">
        <f>G153-SUM(C147:C150)</f>
        <v>198862.99107075017</v>
      </c>
      <c r="E151" s="146" t="s">
        <v>281</v>
      </c>
      <c r="F151" s="142">
        <f>[1]Rubi!W40</f>
        <v>4277.5250000000005</v>
      </c>
      <c r="G151" s="145">
        <f>[1]Rubi!X40</f>
        <v>507971.93749466899</v>
      </c>
    </row>
    <row r="152" spans="1:7" ht="15" customHeight="1">
      <c r="C152" s="172"/>
    </row>
    <row r="153" spans="1:7" ht="15" customHeight="1" thickBot="1">
      <c r="B153" s="168">
        <f>SUM(B147:B152)</f>
        <v>5816.61</v>
      </c>
      <c r="C153" s="169">
        <f>SUM(C147:C152)</f>
        <v>2625003.199263481</v>
      </c>
      <c r="D153" s="167">
        <f>B153-F153</f>
        <v>0</v>
      </c>
      <c r="E153" s="167">
        <f>C153-G153</f>
        <v>0</v>
      </c>
      <c r="F153" s="168">
        <f>SUM(F147:F151)</f>
        <v>5816.6099999999988</v>
      </c>
      <c r="G153" s="169">
        <f>SUM(G147:G151)</f>
        <v>2625003.199263481</v>
      </c>
    </row>
    <row r="154" spans="1:7" ht="15" customHeight="1" thickTop="1">
      <c r="C154" s="172"/>
      <c r="G154" s="172"/>
    </row>
    <row r="155" spans="1:7" ht="15" customHeight="1">
      <c r="C155" s="172"/>
      <c r="G155" s="172"/>
    </row>
    <row r="156" spans="1:7" ht="15" customHeight="1">
      <c r="A156" s="183" t="s">
        <v>309</v>
      </c>
      <c r="B156" s="183"/>
      <c r="C156" s="183"/>
      <c r="D156" s="183"/>
      <c r="E156" s="183"/>
      <c r="F156" s="183"/>
      <c r="G156" s="183"/>
    </row>
    <row r="157" spans="1:7" ht="15" customHeight="1">
      <c r="B157" s="151" t="s">
        <v>273</v>
      </c>
      <c r="C157" s="184" t="s">
        <v>274</v>
      </c>
      <c r="F157" s="151" t="s">
        <v>273</v>
      </c>
      <c r="G157" s="184" t="s">
        <v>274</v>
      </c>
    </row>
    <row r="158" spans="1:7" ht="15" customHeight="1">
      <c r="A158" s="146" t="s">
        <v>275</v>
      </c>
      <c r="B158" s="142">
        <f>+[1]Prls!B39</f>
        <v>6484.6210000000001</v>
      </c>
      <c r="C158" s="145">
        <f>+[1]Prls!C39</f>
        <v>3573018.9020680427</v>
      </c>
      <c r="E158" s="146" t="s">
        <v>276</v>
      </c>
      <c r="F158" s="142">
        <f>[1]Prls!U39</f>
        <v>2821.7559999999999</v>
      </c>
      <c r="G158" s="172">
        <f>[1]Prls!V39</f>
        <v>841361.39999999991</v>
      </c>
    </row>
    <row r="159" spans="1:7" ht="15" customHeight="1">
      <c r="C159" s="172"/>
      <c r="G159" s="172"/>
    </row>
    <row r="160" spans="1:7" ht="15" customHeight="1">
      <c r="A160" s="146" t="s">
        <v>277</v>
      </c>
      <c r="B160" s="142">
        <f>[1]Prls!D39</f>
        <v>0</v>
      </c>
      <c r="C160" s="172">
        <f>[1]Prls!E39</f>
        <v>0</v>
      </c>
      <c r="E160" s="146" t="s">
        <v>278</v>
      </c>
      <c r="F160" s="142">
        <f>+[1]Prls!S39-[1]Prls!J39</f>
        <v>1144.8869999999993</v>
      </c>
      <c r="G160" s="145">
        <f>+[1]Prls!T39-[1]Prls!K39</f>
        <v>2245177.0654895767</v>
      </c>
    </row>
    <row r="161" spans="1:11" ht="15" customHeight="1">
      <c r="C161" s="172"/>
      <c r="G161" s="172"/>
    </row>
    <row r="162" spans="1:11" ht="15" customHeight="1">
      <c r="A162" s="146" t="s">
        <v>282</v>
      </c>
      <c r="C162" s="172">
        <f>G166-SUM(C158:C161)</f>
        <v>191798.58553593559</v>
      </c>
      <c r="E162" s="146" t="s">
        <v>281</v>
      </c>
      <c r="F162" s="142">
        <f>+[1]Prls!W39</f>
        <v>2517.9780000000005</v>
      </c>
      <c r="G162" s="145">
        <f>[1]Prls!X39</f>
        <v>678279.02211440157</v>
      </c>
    </row>
    <row r="163" spans="1:11" ht="15" customHeight="1">
      <c r="C163" s="172"/>
      <c r="G163" s="172"/>
      <c r="I163" s="146">
        <f>841361+2245497+678254</f>
        <v>3765112</v>
      </c>
    </row>
    <row r="164" spans="1:11" ht="15" customHeight="1">
      <c r="G164" s="172"/>
    </row>
    <row r="165" spans="1:11" ht="15" customHeight="1">
      <c r="C165" s="172"/>
      <c r="G165" s="172"/>
    </row>
    <row r="166" spans="1:11" ht="15" customHeight="1" thickBot="1">
      <c r="B166" s="168">
        <f>SUM(B158:B163)</f>
        <v>6484.6210000000001</v>
      </c>
      <c r="C166" s="169">
        <f>SUM(C158:C163)</f>
        <v>3764817.4876039783</v>
      </c>
      <c r="D166" s="167">
        <f>B166-F166</f>
        <v>0</v>
      </c>
      <c r="E166" s="167">
        <f>C166-G166</f>
        <v>0</v>
      </c>
      <c r="F166" s="168">
        <f>SUM(F158:F162)</f>
        <v>6484.6209999999992</v>
      </c>
      <c r="G166" s="169">
        <f>SUM(G158:G162)</f>
        <v>3764817.4876039783</v>
      </c>
    </row>
    <row r="167" spans="1:11" ht="15" customHeight="1" thickTop="1">
      <c r="C167" s="172"/>
      <c r="G167" s="172"/>
    </row>
    <row r="168" spans="1:11" ht="15" customHeight="1">
      <c r="C168" s="172"/>
      <c r="G168" s="172"/>
    </row>
    <row r="169" spans="1:11" ht="15" customHeight="1">
      <c r="A169" s="183" t="s">
        <v>310</v>
      </c>
      <c r="B169" s="183"/>
      <c r="C169" s="183"/>
      <c r="D169" s="183"/>
      <c r="E169" s="183"/>
      <c r="F169" s="183"/>
      <c r="G169" s="183"/>
    </row>
    <row r="170" spans="1:11" ht="15" customHeight="1">
      <c r="B170" s="151" t="s">
        <v>306</v>
      </c>
      <c r="C170" s="184" t="s">
        <v>274</v>
      </c>
      <c r="F170" s="151" t="s">
        <v>306</v>
      </c>
      <c r="G170" s="184" t="s">
        <v>274</v>
      </c>
    </row>
    <row r="171" spans="1:11" ht="15" customHeight="1">
      <c r="A171" s="146" t="s">
        <v>275</v>
      </c>
      <c r="B171" s="142">
        <f>[1]Prec!B89</f>
        <v>57905.654999999999</v>
      </c>
      <c r="C171" s="145">
        <f>[1]Prec!C89</f>
        <v>33133332.172966801</v>
      </c>
      <c r="E171" s="146" t="s">
        <v>276</v>
      </c>
      <c r="F171" s="142">
        <f>[1]Prec!U89</f>
        <v>15630.469999999987</v>
      </c>
      <c r="G171" s="172">
        <f>[1]Prec!V89</f>
        <v>2172117.5</v>
      </c>
    </row>
    <row r="172" spans="1:11" ht="15" customHeight="1">
      <c r="C172" s="172"/>
      <c r="G172" s="172"/>
    </row>
    <row r="173" spans="1:11" ht="15" customHeight="1">
      <c r="A173" s="146" t="s">
        <v>277</v>
      </c>
      <c r="B173" s="142">
        <f>[1]Prec!D89</f>
        <v>0</v>
      </c>
      <c r="C173" s="145">
        <f>[1]Prec!E89</f>
        <v>0</v>
      </c>
      <c r="E173" s="146" t="s">
        <v>278</v>
      </c>
      <c r="F173" s="142">
        <f>+[1]Prec!Q89-[1]Prec!H89</f>
        <v>31351.974000000002</v>
      </c>
      <c r="G173" s="145">
        <f>+[1]Prec!R89-[1]Prec!I89</f>
        <v>27015895.583948743</v>
      </c>
      <c r="J173" s="146">
        <v>605501.45000000019</v>
      </c>
      <c r="K173" s="146">
        <v>128255347.92654301</v>
      </c>
    </row>
    <row r="175" spans="1:11" ht="15" customHeight="1">
      <c r="A175" s="146" t="s">
        <v>282</v>
      </c>
      <c r="C175" s="172">
        <f>G177-SUM(C171:C173)</f>
        <v>506841.57786021382</v>
      </c>
      <c r="E175" s="146" t="s">
        <v>281</v>
      </c>
      <c r="F175" s="142">
        <f>[1]Prec!W89</f>
        <v>10923.211000000018</v>
      </c>
      <c r="G175" s="145">
        <f>[1]Prec!X89</f>
        <v>4452160.6668782746</v>
      </c>
    </row>
    <row r="176" spans="1:11" ht="15" customHeight="1">
      <c r="G176" s="172"/>
    </row>
    <row r="177" spans="1:7" ht="15" customHeight="1" thickBot="1">
      <c r="B177" s="168">
        <f>SUM(B171:B173)</f>
        <v>57905.654999999999</v>
      </c>
      <c r="C177" s="169">
        <f>SUM(C171:C176)</f>
        <v>33640173.750827014</v>
      </c>
      <c r="D177" s="167">
        <f>B177-F177</f>
        <v>0</v>
      </c>
      <c r="E177" s="167">
        <f>C177-G177</f>
        <v>0</v>
      </c>
      <c r="F177" s="168">
        <f>SUM(F171:F175)</f>
        <v>57905.655000000006</v>
      </c>
      <c r="G177" s="169">
        <f>SUM(G171:G175)</f>
        <v>33640173.750827014</v>
      </c>
    </row>
    <row r="178" spans="1:7" ht="15" customHeight="1" thickTop="1">
      <c r="B178" s="173"/>
      <c r="C178" s="172"/>
      <c r="D178" s="167"/>
      <c r="E178" s="167"/>
      <c r="F178" s="173"/>
      <c r="G178" s="172"/>
    </row>
    <row r="179" spans="1:7" ht="15" customHeight="1">
      <c r="C179" s="172"/>
      <c r="D179" s="156"/>
      <c r="E179" s="156"/>
      <c r="G179" s="172"/>
    </row>
    <row r="180" spans="1:7" ht="15" customHeight="1">
      <c r="A180" s="175" t="s">
        <v>289</v>
      </c>
      <c r="B180" s="175"/>
      <c r="C180" s="175"/>
      <c r="D180" s="175" t="s">
        <v>290</v>
      </c>
      <c r="E180" s="175"/>
      <c r="F180" s="175"/>
      <c r="G180" s="175"/>
    </row>
    <row r="181" spans="1:7" ht="15" customHeight="1">
      <c r="A181" s="177" t="s">
        <v>291</v>
      </c>
      <c r="B181" s="177"/>
      <c r="C181" s="177"/>
      <c r="D181" s="177" t="s">
        <v>292</v>
      </c>
      <c r="E181" s="177"/>
      <c r="F181" s="177"/>
      <c r="G181" s="177"/>
    </row>
    <row r="182" spans="1:7" ht="15" customHeight="1">
      <c r="D182" s="177" t="str">
        <f>+D119</f>
        <v>FRN 001062S</v>
      </c>
      <c r="E182" s="177"/>
      <c r="F182" s="177"/>
      <c r="G182" s="177"/>
    </row>
    <row r="183" spans="1:7" ht="15" customHeight="1">
      <c r="D183" s="187"/>
      <c r="E183" s="187"/>
      <c r="F183" s="187"/>
      <c r="G183" s="187"/>
    </row>
    <row r="184" spans="1:7" ht="15" customHeight="1">
      <c r="D184" s="187"/>
      <c r="E184" s="187"/>
      <c r="F184" s="187"/>
      <c r="G184" s="187"/>
    </row>
    <row r="185" spans="1:7" ht="15" customHeight="1">
      <c r="D185" s="187"/>
      <c r="E185" s="187"/>
      <c r="F185" s="187"/>
      <c r="G185" s="187"/>
    </row>
    <row r="186" spans="1:7" ht="15" customHeight="1">
      <c r="A186" s="178" t="str">
        <f>+A123</f>
        <v>Abhishek Agarwal</v>
      </c>
      <c r="C186" s="178" t="str">
        <f t="shared" ref="C186:C188" si="0">+C123</f>
        <v>Kaushik Kumar</v>
      </c>
      <c r="D186" s="178"/>
      <c r="E186" s="177" t="str">
        <f>+D123</f>
        <v>Hari Agarwal</v>
      </c>
      <c r="F186" s="177"/>
      <c r="G186" s="177"/>
    </row>
    <row r="187" spans="1:7" ht="15" customHeight="1">
      <c r="A187" s="178" t="str">
        <f t="shared" ref="A187:A188" si="1">+A124</f>
        <v>Director</v>
      </c>
      <c r="C187" s="178" t="str">
        <f t="shared" si="0"/>
        <v>Director</v>
      </c>
      <c r="D187" s="178"/>
      <c r="E187" s="177" t="str">
        <f t="shared" ref="E187:E188" si="2">+D124</f>
        <v>Partner</v>
      </c>
      <c r="F187" s="177"/>
      <c r="G187" s="177"/>
    </row>
    <row r="188" spans="1:7" ht="15" customHeight="1">
      <c r="A188" s="178" t="str">
        <f t="shared" si="1"/>
        <v>DIN: 00518139</v>
      </c>
      <c r="C188" s="178" t="str">
        <f t="shared" si="0"/>
        <v>DIN: 03047394</v>
      </c>
      <c r="D188" s="178"/>
      <c r="E188" s="177" t="str">
        <f t="shared" si="2"/>
        <v>M No 026059</v>
      </c>
      <c r="F188" s="177"/>
      <c r="G188" s="177"/>
    </row>
    <row r="395" ht="22.5" customHeight="1"/>
  </sheetData>
  <mergeCells count="48">
    <mergeCell ref="E186:G186"/>
    <mergeCell ref="E187:G187"/>
    <mergeCell ref="E188:G188"/>
    <mergeCell ref="A181:C181"/>
    <mergeCell ref="D181:G181"/>
    <mergeCell ref="D182:G182"/>
    <mergeCell ref="D183:G183"/>
    <mergeCell ref="D184:G184"/>
    <mergeCell ref="D185:G185"/>
    <mergeCell ref="D125:G125"/>
    <mergeCell ref="A132:G132"/>
    <mergeCell ref="A145:G145"/>
    <mergeCell ref="A156:G156"/>
    <mergeCell ref="A169:G169"/>
    <mergeCell ref="A180:C180"/>
    <mergeCell ref="D180:G180"/>
    <mergeCell ref="D119:G119"/>
    <mergeCell ref="D120:G120"/>
    <mergeCell ref="D121:G121"/>
    <mergeCell ref="D122:G122"/>
    <mergeCell ref="D123:G123"/>
    <mergeCell ref="D124:G124"/>
    <mergeCell ref="A71:G71"/>
    <mergeCell ref="A87:G87"/>
    <mergeCell ref="A103:G103"/>
    <mergeCell ref="A117:C117"/>
    <mergeCell ref="D117:G117"/>
    <mergeCell ref="A118:C118"/>
    <mergeCell ref="D118:G118"/>
    <mergeCell ref="D61:G61"/>
    <mergeCell ref="B62:C62"/>
    <mergeCell ref="D62:G62"/>
    <mergeCell ref="B63:C63"/>
    <mergeCell ref="D63:G63"/>
    <mergeCell ref="B64:C64"/>
    <mergeCell ref="D64:G64"/>
    <mergeCell ref="A57:C57"/>
    <mergeCell ref="D57:G57"/>
    <mergeCell ref="A58:C58"/>
    <mergeCell ref="D58:G58"/>
    <mergeCell ref="D59:G59"/>
    <mergeCell ref="D60:G60"/>
    <mergeCell ref="A7:G7"/>
    <mergeCell ref="A9:G9"/>
    <mergeCell ref="A22:G22"/>
    <mergeCell ref="A39:G39"/>
    <mergeCell ref="H43:J43"/>
    <mergeCell ref="H46:J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E4D1-5B27-4311-AD58-CF7EF008E592}">
  <dimension ref="A1:Y35"/>
  <sheetViews>
    <sheetView tabSelected="1" workbookViewId="0">
      <selection sqref="A1:XFD1048576"/>
    </sheetView>
  </sheetViews>
  <sheetFormatPr defaultColWidth="9.33203125" defaultRowHeight="13.8"/>
  <cols>
    <col min="1" max="1" width="18.6640625" style="1" customWidth="1"/>
    <col min="2" max="2" width="15" style="2" customWidth="1"/>
    <col min="3" max="3" width="17.33203125" style="4" customWidth="1"/>
    <col min="4" max="4" width="12" style="2" bestFit="1" customWidth="1"/>
    <col min="5" max="5" width="14.44140625" style="4" bestFit="1" customWidth="1"/>
    <col min="6" max="6" width="13.6640625" style="4" hidden="1" customWidth="1"/>
    <col min="7" max="7" width="17.5546875" style="4" hidden="1" customWidth="1"/>
    <col min="8" max="8" width="14.6640625" style="4" customWidth="1"/>
    <col min="9" max="9" width="17.6640625" style="4" customWidth="1"/>
    <col min="10" max="10" width="15" style="4" hidden="1" customWidth="1"/>
    <col min="11" max="11" width="17" style="4" hidden="1" customWidth="1"/>
    <col min="12" max="12" width="11.6640625" style="4" hidden="1" customWidth="1"/>
    <col min="13" max="13" width="19.33203125" style="4" hidden="1" customWidth="1"/>
    <col min="14" max="14" width="13" style="4" customWidth="1"/>
    <col min="15" max="15" width="15.6640625" style="4" customWidth="1"/>
    <col min="16" max="16" width="13" style="4" hidden="1" customWidth="1"/>
    <col min="17" max="17" width="15.33203125" style="4" hidden="1" customWidth="1"/>
    <col min="18" max="18" width="9.6640625" style="4" hidden="1" customWidth="1"/>
    <col min="19" max="19" width="15.33203125" style="2" bestFit="1" customWidth="1"/>
    <col min="20" max="20" width="15.6640625" style="4" customWidth="1"/>
    <col min="21" max="21" width="14.6640625" style="2" bestFit="1" customWidth="1"/>
    <col min="22" max="22" width="17.6640625" style="4" customWidth="1"/>
    <col min="23" max="23" width="15.33203125" style="4" bestFit="1" customWidth="1"/>
    <col min="24" max="24" width="9.6640625" style="1" customWidth="1"/>
    <col min="25" max="25" width="10.5546875" style="1" bestFit="1" customWidth="1"/>
    <col min="26" max="16384" width="9.33203125" style="1"/>
  </cols>
  <sheetData>
    <row r="1" spans="1:25">
      <c r="A1" s="8" t="s">
        <v>311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5" s="196" customFormat="1">
      <c r="A2" s="188" t="s">
        <v>1</v>
      </c>
      <c r="B2" s="189" t="s">
        <v>2</v>
      </c>
      <c r="C2" s="189"/>
      <c r="D2" s="189" t="s">
        <v>3</v>
      </c>
      <c r="E2" s="189"/>
      <c r="F2" s="190" t="s">
        <v>4</v>
      </c>
      <c r="G2" s="190"/>
      <c r="H2" s="190" t="s">
        <v>5</v>
      </c>
      <c r="I2" s="190"/>
      <c r="J2" s="190" t="s">
        <v>312</v>
      </c>
      <c r="K2" s="190"/>
      <c r="L2" s="190" t="s">
        <v>9</v>
      </c>
      <c r="M2" s="190"/>
      <c r="N2" s="190" t="s">
        <v>10</v>
      </c>
      <c r="O2" s="190"/>
      <c r="P2" s="191" t="s">
        <v>313</v>
      </c>
      <c r="Q2" s="192"/>
      <c r="R2" s="193" t="s">
        <v>314</v>
      </c>
      <c r="S2" s="194" t="s">
        <v>12</v>
      </c>
      <c r="T2" s="194"/>
      <c r="U2" s="189" t="s">
        <v>13</v>
      </c>
      <c r="V2" s="189"/>
      <c r="W2" s="195" t="s">
        <v>14</v>
      </c>
      <c r="X2" s="188" t="s">
        <v>315</v>
      </c>
    </row>
    <row r="3" spans="1:25" s="199" customFormat="1" ht="26.4">
      <c r="A3" s="188"/>
      <c r="B3" s="197" t="s">
        <v>316</v>
      </c>
      <c r="C3" s="198" t="s">
        <v>317</v>
      </c>
      <c r="D3" s="197" t="s">
        <v>316</v>
      </c>
      <c r="E3" s="198" t="s">
        <v>317</v>
      </c>
      <c r="F3" s="197" t="s">
        <v>316</v>
      </c>
      <c r="G3" s="198" t="s">
        <v>317</v>
      </c>
      <c r="H3" s="197" t="s">
        <v>316</v>
      </c>
      <c r="I3" s="198" t="s">
        <v>317</v>
      </c>
      <c r="J3" s="197" t="s">
        <v>316</v>
      </c>
      <c r="K3" s="198" t="s">
        <v>317</v>
      </c>
      <c r="L3" s="197" t="s">
        <v>316</v>
      </c>
      <c r="M3" s="198" t="s">
        <v>317</v>
      </c>
      <c r="N3" s="197" t="s">
        <v>316</v>
      </c>
      <c r="O3" s="198" t="s">
        <v>317</v>
      </c>
      <c r="P3" s="197" t="s">
        <v>316</v>
      </c>
      <c r="Q3" s="198" t="s">
        <v>317</v>
      </c>
      <c r="R3" s="193"/>
      <c r="S3" s="197" t="s">
        <v>316</v>
      </c>
      <c r="T3" s="198" t="s">
        <v>317</v>
      </c>
      <c r="U3" s="197" t="s">
        <v>316</v>
      </c>
      <c r="V3" s="198" t="s">
        <v>317</v>
      </c>
      <c r="W3" s="195"/>
      <c r="X3" s="188"/>
    </row>
    <row r="4" spans="1:25" s="199" customFormat="1">
      <c r="A4" s="21" t="s">
        <v>318</v>
      </c>
      <c r="B4" s="2">
        <f>+[1]Trading!B11</f>
        <v>2127.58</v>
      </c>
      <c r="C4" s="4">
        <f>+[1]Trading!C11</f>
        <v>16798636.264192738</v>
      </c>
      <c r="D4" s="2">
        <f>+[1]Trading!B15</f>
        <v>4104.3</v>
      </c>
      <c r="E4" s="4">
        <f>+[1]Trading!C15</f>
        <v>43206003.922999993</v>
      </c>
      <c r="F4" s="4">
        <v>0</v>
      </c>
      <c r="G4" s="4">
        <v>0</v>
      </c>
      <c r="H4" s="4">
        <v>0</v>
      </c>
      <c r="I4" s="4">
        <v>0</v>
      </c>
      <c r="J4" s="2">
        <f>+F4+H4</f>
        <v>0</v>
      </c>
      <c r="K4" s="4">
        <f>+G4+I4</f>
        <v>0</v>
      </c>
      <c r="L4" s="2">
        <v>0</v>
      </c>
      <c r="M4" s="4">
        <v>0</v>
      </c>
      <c r="N4" s="2">
        <f>+[1]Trading!F13</f>
        <v>5683.63</v>
      </c>
      <c r="O4" s="4">
        <f>+[1]Trading!G13</f>
        <v>54251442.750323415</v>
      </c>
      <c r="P4" s="2">
        <f>+L4+N4</f>
        <v>5683.63</v>
      </c>
      <c r="Q4" s="4">
        <f>+M4+O4</f>
        <v>54251442.750323415</v>
      </c>
      <c r="R4" s="4">
        <v>0</v>
      </c>
      <c r="S4" s="2">
        <f>+[1]Trading!F11</f>
        <v>332.68999999999988</v>
      </c>
      <c r="T4" s="4">
        <f>+[1]Trading!G11</f>
        <v>3433399.6269999999</v>
      </c>
      <c r="U4" s="2">
        <f>+[1]Trading!F15</f>
        <v>215.5600000000004</v>
      </c>
      <c r="V4" s="4">
        <f>+[1]Trading!G15</f>
        <v>3042818.5774384569</v>
      </c>
      <c r="W4" s="4">
        <f>+[1]Trading!C17</f>
        <v>723020.7675691396</v>
      </c>
      <c r="X4" s="5">
        <f>+W4/T4</f>
        <v>0.21058450693690239</v>
      </c>
    </row>
    <row r="5" spans="1:25" s="199" customFormat="1">
      <c r="A5" s="21" t="s">
        <v>319</v>
      </c>
      <c r="B5" s="2">
        <f>+[1]Trading!B24</f>
        <v>32686.070999999934</v>
      </c>
      <c r="C5" s="4">
        <f>+[1]Trading!C24</f>
        <v>201955626.64022809</v>
      </c>
      <c r="D5" s="2">
        <f>[1]Trading!B28</f>
        <v>2477.42</v>
      </c>
      <c r="E5" s="4">
        <f>[1]Trading!C28</f>
        <v>32858502.817999993</v>
      </c>
      <c r="F5" s="2">
        <v>0</v>
      </c>
      <c r="G5" s="4">
        <v>0</v>
      </c>
      <c r="H5" s="2">
        <f>+[1]Trading!B30</f>
        <v>55663.23</v>
      </c>
      <c r="I5" s="4">
        <f>+[1]Trading!C30</f>
        <v>494565843.49072063</v>
      </c>
      <c r="J5" s="2">
        <f t="shared" ref="J5:K13" si="0">+F5+H5</f>
        <v>55663.23</v>
      </c>
      <c r="K5" s="4">
        <f t="shared" si="0"/>
        <v>494565843.49072063</v>
      </c>
      <c r="L5" s="2">
        <v>0</v>
      </c>
      <c r="M5" s="4">
        <v>0</v>
      </c>
      <c r="N5" s="2">
        <v>0</v>
      </c>
      <c r="O5" s="4">
        <v>0</v>
      </c>
      <c r="P5" s="2">
        <f t="shared" ref="P5:Q13" si="1">+L5+N5</f>
        <v>0</v>
      </c>
      <c r="Q5" s="4">
        <f t="shared" si="1"/>
        <v>0</v>
      </c>
      <c r="R5" s="4">
        <f>+[1]Trading!C32</f>
        <v>0</v>
      </c>
      <c r="S5" s="2">
        <f>[1]Trading!F26</f>
        <v>15107.354999999958</v>
      </c>
      <c r="T5" s="4">
        <f>[1]Trading!G26</f>
        <v>185744092.153</v>
      </c>
      <c r="U5" s="2">
        <f>+[1]Trading!F28</f>
        <v>75719.36599999998</v>
      </c>
      <c r="V5" s="4">
        <f>+[1]Trading!G28</f>
        <v>608061025.61812818</v>
      </c>
      <c r="W5" s="4">
        <f>+[1]Trading!C34</f>
        <v>64425144.822179556</v>
      </c>
      <c r="X5" s="5">
        <f>+W5/T5</f>
        <v>0.34684895802291071</v>
      </c>
    </row>
    <row r="6" spans="1:25" s="199" customFormat="1">
      <c r="A6" s="21" t="s">
        <v>320</v>
      </c>
      <c r="B6" s="2">
        <f>+[1]Trading!B41</f>
        <v>33674.417999999961</v>
      </c>
      <c r="C6" s="4">
        <f>+[1]Trading!C41</f>
        <v>190783370.98359385</v>
      </c>
      <c r="D6" s="2">
        <f>[1]Trading!B45</f>
        <v>0</v>
      </c>
      <c r="E6" s="4">
        <f>[1]Trading!C45</f>
        <v>0</v>
      </c>
      <c r="F6" s="2">
        <v>0</v>
      </c>
      <c r="G6" s="4">
        <v>0</v>
      </c>
      <c r="H6" s="2">
        <f>+[1]Trading!B47</f>
        <v>60886.718000000001</v>
      </c>
      <c r="I6" s="4">
        <f>+[1]Trading!C47</f>
        <v>503383335.23073393</v>
      </c>
      <c r="J6" s="2">
        <f t="shared" si="0"/>
        <v>60886.718000000001</v>
      </c>
      <c r="K6" s="4">
        <f t="shared" si="0"/>
        <v>503383335.23073393</v>
      </c>
      <c r="L6" s="2">
        <v>0</v>
      </c>
      <c r="M6" s="4">
        <v>0</v>
      </c>
      <c r="N6" s="2">
        <v>0</v>
      </c>
      <c r="O6" s="4">
        <v>0</v>
      </c>
      <c r="P6" s="2">
        <f t="shared" si="1"/>
        <v>0</v>
      </c>
      <c r="Q6" s="4">
        <f t="shared" si="1"/>
        <v>0</v>
      </c>
      <c r="R6" s="4">
        <v>0</v>
      </c>
      <c r="S6" s="2">
        <f>[1]Trading!F43</f>
        <v>12388.070999999984</v>
      </c>
      <c r="T6" s="4">
        <f>[1]Trading!G43</f>
        <v>125015070.662</v>
      </c>
      <c r="U6" s="2">
        <f>+[1]Trading!F45</f>
        <v>82173.064999999988</v>
      </c>
      <c r="V6" s="4">
        <f>+[1]Trading!G45</f>
        <v>603226740.74670458</v>
      </c>
      <c r="W6" s="4">
        <f>+[1]Trading!C51</f>
        <v>34075105.194376707</v>
      </c>
      <c r="X6" s="5">
        <f>+W6/T6</f>
        <v>0.27256797931590732</v>
      </c>
    </row>
    <row r="7" spans="1:25" s="199" customFormat="1">
      <c r="A7" s="21" t="s">
        <v>321</v>
      </c>
      <c r="B7" s="2">
        <f>+[1]Trading!B74</f>
        <v>1047.8490000000002</v>
      </c>
      <c r="C7" s="4">
        <f>+[1]Trading!C74</f>
        <v>5214821.5402473947</v>
      </c>
      <c r="D7" s="2">
        <f>[1]Trading!B78</f>
        <v>0</v>
      </c>
      <c r="E7" s="4">
        <f>[1]Trading!C78</f>
        <v>0</v>
      </c>
      <c r="F7" s="2">
        <v>0</v>
      </c>
      <c r="G7" s="4">
        <v>0</v>
      </c>
      <c r="H7" s="2">
        <f>+[1]Trading!B80</f>
        <v>313.96699999999964</v>
      </c>
      <c r="I7" s="4">
        <f>+[1]Trading!C80</f>
        <v>2861602.2974369805</v>
      </c>
      <c r="J7" s="2">
        <f t="shared" si="0"/>
        <v>313.96699999999964</v>
      </c>
      <c r="K7" s="4">
        <f t="shared" si="0"/>
        <v>2861602.2974369805</v>
      </c>
      <c r="L7" s="2">
        <v>0</v>
      </c>
      <c r="M7" s="4">
        <v>0</v>
      </c>
      <c r="N7" s="2">
        <v>0</v>
      </c>
      <c r="O7" s="4">
        <v>0</v>
      </c>
      <c r="P7" s="2">
        <f t="shared" si="1"/>
        <v>0</v>
      </c>
      <c r="Q7" s="4">
        <f t="shared" si="1"/>
        <v>0</v>
      </c>
      <c r="R7" s="4">
        <v>0</v>
      </c>
      <c r="S7" s="2">
        <f>+[1]Trading!F74</f>
        <v>231.73000000000002</v>
      </c>
      <c r="T7" s="4">
        <f>+[1]Trading!G74</f>
        <v>1989631.5420000001</v>
      </c>
      <c r="U7" s="2">
        <f>+[1]Trading!F76</f>
        <v>1130.0859999999998</v>
      </c>
      <c r="V7" s="4">
        <f>+[1]Trading!G76</f>
        <v>6702119.4559568875</v>
      </c>
      <c r="W7" s="4">
        <f>+[1]Trading!C82</f>
        <v>615327.16027251165</v>
      </c>
      <c r="X7" s="5">
        <f>+W7/T7</f>
        <v>0.30926689051882333</v>
      </c>
    </row>
    <row r="8" spans="1:25" s="199" customFormat="1">
      <c r="A8" s="21" t="s">
        <v>322</v>
      </c>
      <c r="B8" s="2">
        <f>+[1]Trading!B90</f>
        <v>94754.739999999991</v>
      </c>
      <c r="C8" s="4">
        <f>+[1]Trading!C90</f>
        <v>7220770.0663112225</v>
      </c>
      <c r="D8" s="2">
        <f>[1]Trading!B94</f>
        <v>0</v>
      </c>
      <c r="E8" s="4">
        <f>[1]Trading!C94</f>
        <v>0</v>
      </c>
      <c r="F8" s="2">
        <v>0</v>
      </c>
      <c r="G8" s="4">
        <v>0</v>
      </c>
      <c r="H8" s="2">
        <f>+[1]Trading!B96</f>
        <v>80265.08</v>
      </c>
      <c r="I8" s="4">
        <f>+[1]Trading!C96</f>
        <v>9385687.1085652858</v>
      </c>
      <c r="J8" s="2">
        <f t="shared" si="0"/>
        <v>80265.08</v>
      </c>
      <c r="K8" s="4">
        <f t="shared" si="0"/>
        <v>9385687.1085652858</v>
      </c>
      <c r="L8" s="2">
        <v>0</v>
      </c>
      <c r="M8" s="4">
        <v>0</v>
      </c>
      <c r="N8" s="2">
        <v>0</v>
      </c>
      <c r="O8" s="4">
        <v>0</v>
      </c>
      <c r="P8" s="2">
        <f t="shared" si="1"/>
        <v>0</v>
      </c>
      <c r="Q8" s="4">
        <f t="shared" si="1"/>
        <v>0</v>
      </c>
      <c r="R8" s="4">
        <v>0</v>
      </c>
      <c r="S8" s="2">
        <f>+[1]Trading!F90</f>
        <v>56363.145000000004</v>
      </c>
      <c r="T8" s="4">
        <f>+[1]Trading!G90</f>
        <v>9476551.3849999998</v>
      </c>
      <c r="U8" s="2">
        <f>+[1]Trading!F92</f>
        <v>118656.675</v>
      </c>
      <c r="V8" s="4">
        <f>+[1]Trading!G92</f>
        <v>11258536.27263895</v>
      </c>
      <c r="W8" s="4">
        <f>+[1]Trading!C98</f>
        <v>4128630.4827624448</v>
      </c>
      <c r="X8" s="5">
        <f t="shared" ref="X8:X13" si="2">+W8/T8</f>
        <v>0.4356680310199621</v>
      </c>
    </row>
    <row r="9" spans="1:25" s="199" customFormat="1">
      <c r="A9" s="21" t="s">
        <v>323</v>
      </c>
      <c r="B9" s="2">
        <f>+B27</f>
        <v>7105.4599999999991</v>
      </c>
      <c r="C9" s="4">
        <f>+C27</f>
        <v>171504490.48357975</v>
      </c>
      <c r="D9" s="2">
        <f>+D27</f>
        <v>0</v>
      </c>
      <c r="E9" s="4">
        <f>+E27</f>
        <v>0</v>
      </c>
      <c r="F9" s="2">
        <f t="shared" ref="F9:I9" si="3">+F27</f>
        <v>0</v>
      </c>
      <c r="G9" s="4">
        <f t="shared" si="3"/>
        <v>0</v>
      </c>
      <c r="H9" s="2">
        <f t="shared" si="3"/>
        <v>3405.9900000000011</v>
      </c>
      <c r="I9" s="4">
        <f t="shared" si="3"/>
        <v>100586140.89021093</v>
      </c>
      <c r="J9" s="2">
        <f t="shared" si="0"/>
        <v>3405.9900000000011</v>
      </c>
      <c r="K9" s="4">
        <f t="shared" si="0"/>
        <v>100586140.89021093</v>
      </c>
      <c r="L9" s="2">
        <f>+L27</f>
        <v>0</v>
      </c>
      <c r="M9" s="4">
        <f t="shared" ref="M9:O9" si="4">+M27</f>
        <v>0</v>
      </c>
      <c r="N9" s="2">
        <f t="shared" si="4"/>
        <v>588.73000000000025</v>
      </c>
      <c r="O9" s="4">
        <f t="shared" si="4"/>
        <v>2476624.6203688942</v>
      </c>
      <c r="P9" s="2">
        <f t="shared" si="1"/>
        <v>588.73000000000025</v>
      </c>
      <c r="Q9" s="4">
        <f t="shared" si="1"/>
        <v>2476624.6203688942</v>
      </c>
      <c r="R9" s="2">
        <f t="shared" ref="R9:V9" si="5">+R27</f>
        <v>0</v>
      </c>
      <c r="S9" s="2">
        <f t="shared" si="5"/>
        <v>2541.5249999999983</v>
      </c>
      <c r="T9" s="4">
        <f t="shared" si="5"/>
        <v>88687789.555999994</v>
      </c>
      <c r="U9" s="2">
        <f t="shared" si="5"/>
        <v>7381.1949999999997</v>
      </c>
      <c r="V9" s="4">
        <f t="shared" si="5"/>
        <v>194474851.16511458</v>
      </c>
      <c r="W9" s="4">
        <f>[1]Trading!C111</f>
        <v>13548633.967692792</v>
      </c>
      <c r="X9" s="5">
        <f t="shared" si="2"/>
        <v>0.15276774892599843</v>
      </c>
    </row>
    <row r="10" spans="1:25">
      <c r="A10" s="21" t="str">
        <f>+[1]Eme!A8</f>
        <v>Emeralds</v>
      </c>
      <c r="B10" s="2">
        <f>[1]Trading!B134</f>
        <v>12561.88</v>
      </c>
      <c r="C10" s="4">
        <f>[1]Trading!C134</f>
        <v>4745374.2122262893</v>
      </c>
      <c r="D10" s="2">
        <f>+[1]Eme!D62</f>
        <v>0</v>
      </c>
      <c r="E10" s="4">
        <f>+[1]Eme!E62</f>
        <v>0</v>
      </c>
      <c r="F10" s="2">
        <f>+[1]Eme!F62</f>
        <v>0</v>
      </c>
      <c r="G10" s="2">
        <f>+[1]Eme!G62</f>
        <v>0</v>
      </c>
      <c r="H10" s="2">
        <f>+[1]Eme!H62</f>
        <v>7251.02</v>
      </c>
      <c r="I10" s="4">
        <f>+[1]Eme!I62</f>
        <v>253705.76041027674</v>
      </c>
      <c r="J10" s="2">
        <f t="shared" si="0"/>
        <v>7251.02</v>
      </c>
      <c r="K10" s="4">
        <f t="shared" si="0"/>
        <v>253705.76041027674</v>
      </c>
      <c r="L10" s="2">
        <f>+[1]Eme!O62</f>
        <v>0</v>
      </c>
      <c r="M10" s="2">
        <f>+[1]Eme!P62</f>
        <v>0</v>
      </c>
      <c r="N10" s="2">
        <f>+[1]Eme!Q62</f>
        <v>4665.6800000000012</v>
      </c>
      <c r="O10" s="4">
        <f>+[1]Eme!R62</f>
        <v>2210414.2522794371</v>
      </c>
      <c r="P10" s="2">
        <f t="shared" si="1"/>
        <v>4665.6800000000012</v>
      </c>
      <c r="Q10" s="4">
        <f t="shared" si="1"/>
        <v>2210414.2522794371</v>
      </c>
      <c r="R10" s="4">
        <v>0</v>
      </c>
      <c r="S10" s="2">
        <f>+[1]Eme!U62</f>
        <v>4145.7900000000027</v>
      </c>
      <c r="T10" s="4">
        <f>[1]Eme!V62</f>
        <v>2596585.517</v>
      </c>
      <c r="U10" s="2">
        <f>+[1]Eme!W62</f>
        <v>11001.43</v>
      </c>
      <c r="V10" s="4">
        <f>+[1]Eme!X62</f>
        <v>923303.5853832491</v>
      </c>
      <c r="W10" s="4">
        <f>+[1]Trading!C140</f>
        <v>731223.38202612009</v>
      </c>
      <c r="X10" s="5">
        <f t="shared" si="2"/>
        <v>0.28160958968566874</v>
      </c>
      <c r="Y10" s="77"/>
    </row>
    <row r="11" spans="1:25">
      <c r="A11" s="21" t="s">
        <v>324</v>
      </c>
      <c r="B11" s="2">
        <f>[1]Trading!B158</f>
        <v>6484.6210000000001</v>
      </c>
      <c r="C11" s="4">
        <f>[1]Trading!C158</f>
        <v>3573018.9020680427</v>
      </c>
      <c r="D11" s="2">
        <f>+[1]Prls!D39</f>
        <v>0</v>
      </c>
      <c r="E11" s="4">
        <f>+[1]Prls!E39</f>
        <v>0</v>
      </c>
      <c r="F11" s="4">
        <f>+[1]Prls!F39</f>
        <v>0</v>
      </c>
      <c r="G11" s="4">
        <f>+[1]Prls!G39</f>
        <v>0</v>
      </c>
      <c r="H11" s="2">
        <f>+[1]Prls!H39</f>
        <v>2255.8350000000005</v>
      </c>
      <c r="I11" s="4">
        <f>+[1]Prls!I39</f>
        <v>389348.55202912132</v>
      </c>
      <c r="J11" s="2">
        <f t="shared" si="0"/>
        <v>2255.8350000000005</v>
      </c>
      <c r="K11" s="4">
        <f t="shared" si="0"/>
        <v>389348.55202912132</v>
      </c>
      <c r="L11" s="2">
        <f>+[1]Prls!O39</f>
        <v>0</v>
      </c>
      <c r="M11" s="2">
        <f>+[1]Prls!P39</f>
        <v>0</v>
      </c>
      <c r="N11" s="2">
        <f>+[1]Prls!Q39</f>
        <v>3400.7219999999998</v>
      </c>
      <c r="O11" s="4">
        <f>+[1]Prls!R39</f>
        <v>2634525.6175186979</v>
      </c>
      <c r="P11" s="2">
        <f t="shared" si="1"/>
        <v>3400.7219999999998</v>
      </c>
      <c r="Q11" s="4">
        <f t="shared" si="1"/>
        <v>2634525.6175186979</v>
      </c>
      <c r="R11" s="4">
        <v>0</v>
      </c>
      <c r="S11" s="2">
        <f>+[1]Prls!U39</f>
        <v>2821.7559999999999</v>
      </c>
      <c r="T11" s="4">
        <f>+[1]Prls!V39</f>
        <v>841361.39999999991</v>
      </c>
      <c r="U11" s="2">
        <f>+[1]Prls!W39</f>
        <v>2517.9780000000005</v>
      </c>
      <c r="V11" s="4">
        <f>+[1]Prls!X39</f>
        <v>678279.02211440157</v>
      </c>
      <c r="W11" s="4">
        <f>+[1]Prls!Y39</f>
        <v>191798.58553593609</v>
      </c>
      <c r="X11" s="5">
        <f t="shared" si="2"/>
        <v>0.22796218787305444</v>
      </c>
    </row>
    <row r="12" spans="1:25">
      <c r="A12" s="21" t="str">
        <f>+[1]Rubi!A9</f>
        <v xml:space="preserve">Rubies </v>
      </c>
      <c r="B12" s="2">
        <f>[1]Trading!B147</f>
        <v>5816.61</v>
      </c>
      <c r="C12" s="4">
        <f>[1]Trading!C147</f>
        <v>2426140.2081927308</v>
      </c>
      <c r="D12" s="2">
        <f>+[1]Rubi!D40</f>
        <v>0</v>
      </c>
      <c r="E12" s="4">
        <f>+[1]Rubi!E40</f>
        <v>0</v>
      </c>
      <c r="F12" s="4">
        <f>+[1]Rubi!F40</f>
        <v>0</v>
      </c>
      <c r="G12" s="4">
        <f>+[1]Rubi!G40</f>
        <v>0</v>
      </c>
      <c r="H12" s="2">
        <f>+[1]Rubi!H40</f>
        <v>2726.0399999999995</v>
      </c>
      <c r="I12" s="4">
        <f>+[1]Rubi!I40</f>
        <v>71096.143697062915</v>
      </c>
      <c r="J12" s="2">
        <f t="shared" si="0"/>
        <v>2726.0399999999995</v>
      </c>
      <c r="K12" s="4">
        <f t="shared" si="0"/>
        <v>71096.143697062915</v>
      </c>
      <c r="L12" s="2">
        <f>+[1]Rubi!O40</f>
        <v>0</v>
      </c>
      <c r="M12" s="2">
        <f>+[1]Rubi!P40</f>
        <v>0</v>
      </c>
      <c r="N12" s="2">
        <f>+[1]Rubi!Q40</f>
        <v>2633.3199999999997</v>
      </c>
      <c r="O12" s="4">
        <f>+[1]Rubi!R40</f>
        <v>1437700.3054658747</v>
      </c>
      <c r="P12" s="2">
        <f t="shared" si="1"/>
        <v>2633.3199999999997</v>
      </c>
      <c r="Q12" s="4">
        <f t="shared" si="1"/>
        <v>1437700.3054658747</v>
      </c>
      <c r="R12" s="4">
        <v>0</v>
      </c>
      <c r="S12" s="2">
        <f>+[1]Rubi!U40</f>
        <v>1631.8049999999978</v>
      </c>
      <c r="T12" s="4">
        <f>+[1]Rubi!V40</f>
        <v>750427.1</v>
      </c>
      <c r="U12" s="2">
        <f>+[1]Rubi!W40</f>
        <v>4277.5250000000005</v>
      </c>
      <c r="V12" s="4">
        <f>+[1]Rubi!X40</f>
        <v>507971.93749466899</v>
      </c>
      <c r="W12" s="4">
        <f>+[1]Rubi!Y40</f>
        <v>198862.9910707502</v>
      </c>
      <c r="X12" s="5">
        <f>+W12/T12</f>
        <v>0.26499974623884215</v>
      </c>
    </row>
    <row r="13" spans="1:25" ht="27.6">
      <c r="A13" s="21" t="s">
        <v>325</v>
      </c>
      <c r="B13" s="2">
        <f>+B34</f>
        <v>57905.654999999999</v>
      </c>
      <c r="C13" s="4">
        <f>+C34</f>
        <v>33133332.172966797</v>
      </c>
      <c r="D13" s="2">
        <f t="shared" ref="D13:I13" si="6">+D34</f>
        <v>0</v>
      </c>
      <c r="E13" s="4">
        <f t="shared" si="6"/>
        <v>0</v>
      </c>
      <c r="F13" s="2">
        <f>+F34</f>
        <v>0</v>
      </c>
      <c r="G13" s="4">
        <f t="shared" si="6"/>
        <v>0</v>
      </c>
      <c r="H13" s="2">
        <f t="shared" si="6"/>
        <v>1239.92</v>
      </c>
      <c r="I13" s="4">
        <f t="shared" si="6"/>
        <v>826157.42457074509</v>
      </c>
      <c r="J13" s="2">
        <f t="shared" si="0"/>
        <v>1239.92</v>
      </c>
      <c r="K13" s="4">
        <f t="shared" si="0"/>
        <v>826157.42457074509</v>
      </c>
      <c r="L13" s="2">
        <f>+L34</f>
        <v>0</v>
      </c>
      <c r="M13" s="2">
        <f t="shared" ref="M13:O13" si="7">+M34</f>
        <v>0</v>
      </c>
      <c r="N13" s="2">
        <f t="shared" si="7"/>
        <v>32591.894000000004</v>
      </c>
      <c r="O13" s="4">
        <f t="shared" si="7"/>
        <v>27842053.008519489</v>
      </c>
      <c r="P13" s="2">
        <f t="shared" si="1"/>
        <v>32591.894000000004</v>
      </c>
      <c r="Q13" s="4">
        <f t="shared" si="1"/>
        <v>27842053.008519489</v>
      </c>
      <c r="R13" s="4">
        <v>0</v>
      </c>
      <c r="S13" s="2">
        <f>+S34</f>
        <v>15630.469999999987</v>
      </c>
      <c r="T13" s="4">
        <f>+T34</f>
        <v>2172117.5</v>
      </c>
      <c r="U13" s="2">
        <f>+U34</f>
        <v>10923.211000000018</v>
      </c>
      <c r="V13" s="4">
        <f>+V34</f>
        <v>4452160.6668782746</v>
      </c>
      <c r="W13" s="4">
        <f>[1]Trading!C175</f>
        <v>506841.57786021382</v>
      </c>
      <c r="X13" s="5">
        <f t="shared" si="2"/>
        <v>0.23333985286717399</v>
      </c>
    </row>
    <row r="14" spans="1:25">
      <c r="A14" s="21"/>
      <c r="X14" s="5"/>
    </row>
    <row r="15" spans="1:25" ht="14.4" thickBot="1">
      <c r="A15" s="200" t="s">
        <v>38</v>
      </c>
      <c r="B15" s="132">
        <f t="shared" ref="B15:W15" si="8">SUM(B4:B14)</f>
        <v>254164.88399999987</v>
      </c>
      <c r="C15" s="133">
        <f t="shared" si="8"/>
        <v>637355581.47360682</v>
      </c>
      <c r="D15" s="132">
        <f t="shared" si="8"/>
        <v>6581.72</v>
      </c>
      <c r="E15" s="133">
        <f t="shared" si="8"/>
        <v>76064506.740999982</v>
      </c>
      <c r="F15" s="132">
        <f t="shared" si="8"/>
        <v>0</v>
      </c>
      <c r="G15" s="133">
        <f t="shared" si="8"/>
        <v>0</v>
      </c>
      <c r="H15" s="132">
        <f t="shared" si="8"/>
        <v>214007.8</v>
      </c>
      <c r="I15" s="133">
        <f t="shared" si="8"/>
        <v>1112322916.898375</v>
      </c>
      <c r="J15" s="132">
        <f t="shared" si="8"/>
        <v>214007.8</v>
      </c>
      <c r="K15" s="133">
        <f t="shared" si="8"/>
        <v>1112322916.898375</v>
      </c>
      <c r="L15" s="132">
        <f t="shared" si="8"/>
        <v>0</v>
      </c>
      <c r="M15" s="133">
        <f t="shared" si="8"/>
        <v>0</v>
      </c>
      <c r="N15" s="132">
        <f t="shared" si="8"/>
        <v>49563.97600000001</v>
      </c>
      <c r="O15" s="133">
        <f t="shared" si="8"/>
        <v>90852760.554475814</v>
      </c>
      <c r="P15" s="132">
        <f t="shared" si="8"/>
        <v>49563.97600000001</v>
      </c>
      <c r="Q15" s="133">
        <f t="shared" si="8"/>
        <v>90852760.554475814</v>
      </c>
      <c r="R15" s="133">
        <f t="shared" si="8"/>
        <v>0</v>
      </c>
      <c r="S15" s="132">
        <f t="shared" si="8"/>
        <v>111194.33699999993</v>
      </c>
      <c r="T15" s="133">
        <f t="shared" si="8"/>
        <v>420707026.44200003</v>
      </c>
      <c r="U15" s="132">
        <f t="shared" si="8"/>
        <v>313996.09100000001</v>
      </c>
      <c r="V15" s="133">
        <f>SUM(V4:V14)</f>
        <v>1433327807.0478525</v>
      </c>
      <c r="W15" s="133">
        <f t="shared" si="8"/>
        <v>119144588.93134618</v>
      </c>
      <c r="X15" s="96">
        <f>+W15/T15</f>
        <v>0.28320085342756168</v>
      </c>
    </row>
    <row r="16" spans="1:25" s="199" customFormat="1" ht="14.4" thickTop="1">
      <c r="A16" s="201" t="s">
        <v>279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202"/>
      <c r="U16" s="35"/>
      <c r="V16" s="35"/>
      <c r="W16" s="35"/>
      <c r="X16" s="35"/>
    </row>
    <row r="17" spans="1:24" s="199" customFormat="1">
      <c r="A17" s="201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spans="1:24" s="199" customFormat="1" hidden="1">
      <c r="A18" s="188" t="s">
        <v>1</v>
      </c>
      <c r="B18" s="189" t="s">
        <v>2</v>
      </c>
      <c r="C18" s="189"/>
      <c r="D18" s="189" t="s">
        <v>3</v>
      </c>
      <c r="E18" s="189"/>
      <c r="F18" s="190" t="s">
        <v>4</v>
      </c>
      <c r="G18" s="190"/>
      <c r="H18" s="190" t="s">
        <v>5</v>
      </c>
      <c r="I18" s="190"/>
      <c r="J18" s="190" t="s">
        <v>312</v>
      </c>
      <c r="K18" s="190"/>
      <c r="L18" s="190" t="s">
        <v>9</v>
      </c>
      <c r="M18" s="190"/>
      <c r="N18" s="190" t="s">
        <v>10</v>
      </c>
      <c r="O18" s="190"/>
      <c r="P18" s="190" t="s">
        <v>313</v>
      </c>
      <c r="Q18" s="190"/>
      <c r="R18" s="193" t="s">
        <v>314</v>
      </c>
      <c r="S18" s="194" t="s">
        <v>12</v>
      </c>
      <c r="T18" s="194"/>
      <c r="U18" s="189" t="s">
        <v>13</v>
      </c>
      <c r="V18" s="189"/>
      <c r="W18" s="195" t="s">
        <v>14</v>
      </c>
      <c r="X18" s="188" t="s">
        <v>315</v>
      </c>
    </row>
    <row r="19" spans="1:24" s="199" customFormat="1" ht="26.4" hidden="1">
      <c r="A19" s="188"/>
      <c r="B19" s="197" t="s">
        <v>316</v>
      </c>
      <c r="C19" s="198" t="s">
        <v>317</v>
      </c>
      <c r="D19" s="197" t="s">
        <v>316</v>
      </c>
      <c r="E19" s="198" t="s">
        <v>317</v>
      </c>
      <c r="F19" s="197" t="s">
        <v>316</v>
      </c>
      <c r="G19" s="198" t="s">
        <v>317</v>
      </c>
      <c r="H19" s="197" t="s">
        <v>316</v>
      </c>
      <c r="I19" s="198" t="s">
        <v>317</v>
      </c>
      <c r="J19" s="197" t="s">
        <v>316</v>
      </c>
      <c r="K19" s="198" t="s">
        <v>317</v>
      </c>
      <c r="L19" s="197" t="s">
        <v>21</v>
      </c>
      <c r="M19" s="198" t="s">
        <v>22</v>
      </c>
      <c r="N19" s="197" t="s">
        <v>21</v>
      </c>
      <c r="O19" s="198" t="s">
        <v>22</v>
      </c>
      <c r="P19" s="197" t="s">
        <v>316</v>
      </c>
      <c r="Q19" s="198" t="s">
        <v>317</v>
      </c>
      <c r="R19" s="193"/>
      <c r="S19" s="197" t="s">
        <v>316</v>
      </c>
      <c r="T19" s="198" t="s">
        <v>317</v>
      </c>
      <c r="U19" s="197" t="s">
        <v>316</v>
      </c>
      <c r="V19" s="198" t="s">
        <v>317</v>
      </c>
      <c r="W19" s="195"/>
      <c r="X19" s="188"/>
    </row>
    <row r="20" spans="1:24">
      <c r="A20" s="203" t="s">
        <v>326</v>
      </c>
    </row>
    <row r="21" spans="1:24">
      <c r="A21" s="21" t="str">
        <f>+[1]Dia!A7</f>
        <v>Diamonds - Beads</v>
      </c>
      <c r="B21" s="2">
        <f>+[1]Dia!B10</f>
        <v>263.02999999999997</v>
      </c>
      <c r="C21" s="4">
        <f>+[1]Dia!C10</f>
        <v>347107.83809517615</v>
      </c>
      <c r="D21" s="2">
        <f>+[1]Dia!D10</f>
        <v>0</v>
      </c>
      <c r="E21" s="4">
        <f>+[1]Dia!E10</f>
        <v>0</v>
      </c>
      <c r="F21" s="4">
        <f>+[1]Dia!F10</f>
        <v>0</v>
      </c>
      <c r="G21" s="4">
        <f>+[1]Dia!G10</f>
        <v>0</v>
      </c>
      <c r="H21" s="2">
        <f>+[1]Dia!H10</f>
        <v>0</v>
      </c>
      <c r="I21" s="4">
        <f>+[1]Dia!I10</f>
        <v>0</v>
      </c>
      <c r="J21" s="2">
        <f>+F21+H21</f>
        <v>0</v>
      </c>
      <c r="K21" s="4">
        <f>+G21+I21</f>
        <v>0</v>
      </c>
      <c r="L21" s="2">
        <f>+[1]Dia!O10</f>
        <v>0</v>
      </c>
      <c r="M21" s="4">
        <f>+[1]Dia!P10</f>
        <v>0</v>
      </c>
      <c r="N21" s="2">
        <f>+[1]Dia!Q10</f>
        <v>0</v>
      </c>
      <c r="O21" s="4">
        <f>+[1]Dia!R10</f>
        <v>0</v>
      </c>
      <c r="P21" s="2">
        <f>+L21+N21</f>
        <v>0</v>
      </c>
      <c r="Q21" s="4">
        <f>+M21+O21</f>
        <v>0</v>
      </c>
      <c r="R21" s="4">
        <v>0</v>
      </c>
      <c r="S21" s="2">
        <f>+[1]Dia!U10</f>
        <v>85.169999999999987</v>
      </c>
      <c r="T21" s="4">
        <f>+[1]Dia!V10</f>
        <v>387380</v>
      </c>
      <c r="U21" s="2">
        <f>+[1]Dia!W10</f>
        <v>177.85999999999999</v>
      </c>
      <c r="V21" s="4">
        <f>+[1]Dia!X10</f>
        <v>234713.15090905232</v>
      </c>
      <c r="W21" s="4">
        <f t="shared" ref="W21:W25" si="9">+T21+V21+Q21-C21-E21-K21</f>
        <v>274985.3128138762</v>
      </c>
      <c r="X21" s="5">
        <f t="shared" ref="X21:X25" si="10">+W21/T21</f>
        <v>0.70985934434889819</v>
      </c>
    </row>
    <row r="22" spans="1:24" ht="27.6">
      <c r="A22" s="21" t="str">
        <f>+[1]Dia!A12</f>
        <v>Diamonds Rosecut diamonds</v>
      </c>
      <c r="B22" s="2">
        <f>+[1]Dia!B26</f>
        <v>110.89000000000001</v>
      </c>
      <c r="C22" s="4">
        <f>+[1]Dia!C26</f>
        <v>3045855.05213957</v>
      </c>
      <c r="D22" s="2">
        <f>+[1]Dia!D26</f>
        <v>0</v>
      </c>
      <c r="E22" s="4">
        <f>+[1]Dia!E26</f>
        <v>0</v>
      </c>
      <c r="F22" s="4">
        <f>+[1]Dia!F26</f>
        <v>0</v>
      </c>
      <c r="G22" s="4">
        <f>+[1]Dia!G26</f>
        <v>0</v>
      </c>
      <c r="H22" s="2">
        <f>+[1]Dia!H26</f>
        <v>105.80999999999999</v>
      </c>
      <c r="I22" s="4">
        <f>+[1]Dia!I26</f>
        <v>2384968.5460435064</v>
      </c>
      <c r="J22" s="2">
        <f t="shared" ref="J22:K25" si="11">+F22+H22</f>
        <v>105.80999999999999</v>
      </c>
      <c r="K22" s="4">
        <f t="shared" si="11"/>
        <v>2384968.5460435064</v>
      </c>
      <c r="L22" s="2">
        <f>+[1]Dia!O26</f>
        <v>0</v>
      </c>
      <c r="M22" s="4">
        <f>+[1]Dia!P26</f>
        <v>0</v>
      </c>
      <c r="N22" s="2">
        <f>+[1]Dia!Q26</f>
        <v>1.0199999999999996</v>
      </c>
      <c r="O22" s="4">
        <f>+[1]Dia!R26</f>
        <v>25499.999999999985</v>
      </c>
      <c r="P22" s="2">
        <f t="shared" ref="P22:Q25" si="12">+L22+N22</f>
        <v>1.0199999999999996</v>
      </c>
      <c r="Q22" s="4">
        <f t="shared" si="12"/>
        <v>25499.999999999985</v>
      </c>
      <c r="R22" s="4">
        <v>0</v>
      </c>
      <c r="S22" s="2">
        <f>+[1]Dia!U26</f>
        <v>73.45</v>
      </c>
      <c r="T22" s="4">
        <f>+[1]Dia!V26</f>
        <v>1196030</v>
      </c>
      <c r="U22" s="2">
        <f>+[1]Dia!W26</f>
        <v>142.22999999999996</v>
      </c>
      <c r="V22" s="4">
        <f>+[1]Dia!X26</f>
        <v>4274320.2827054104</v>
      </c>
      <c r="W22" s="4">
        <f t="shared" si="9"/>
        <v>65026.684522334021</v>
      </c>
      <c r="X22" s="5">
        <f t="shared" si="10"/>
        <v>5.4368773795250971E-2</v>
      </c>
    </row>
    <row r="23" spans="1:24" ht="27.6">
      <c r="A23" s="21" t="str">
        <f>+[1]Dia!A34</f>
        <v>Diamonds - Flat polki</v>
      </c>
      <c r="B23" s="2">
        <f>+[1]Dia!B50</f>
        <v>1194.4150000000004</v>
      </c>
      <c r="C23" s="4">
        <f>+[1]Dia!C50</f>
        <v>11443318.107466256</v>
      </c>
      <c r="D23" s="2">
        <f>+[1]Dia!D50</f>
        <v>0</v>
      </c>
      <c r="E23" s="4">
        <f>+[1]Dia!E50</f>
        <v>0</v>
      </c>
      <c r="F23" s="4">
        <f>+[1]Dia!F50</f>
        <v>0</v>
      </c>
      <c r="G23" s="4">
        <f>+[1]Dia!G50</f>
        <v>0</v>
      </c>
      <c r="H23" s="2">
        <f>+[1]Dia!H50</f>
        <v>216.26000000000002</v>
      </c>
      <c r="I23" s="4">
        <f>+[1]Dia!I50</f>
        <v>3859949.4118558615</v>
      </c>
      <c r="J23" s="2">
        <f t="shared" si="11"/>
        <v>216.26000000000002</v>
      </c>
      <c r="K23" s="4">
        <f t="shared" si="11"/>
        <v>3859949.4118558615</v>
      </c>
      <c r="L23" s="2">
        <f>+[1]Dia!O50</f>
        <v>0</v>
      </c>
      <c r="M23" s="4">
        <f>+[1]Dia!P50</f>
        <v>0</v>
      </c>
      <c r="N23" s="2">
        <f>+[1]Dia!Q50</f>
        <v>260.50000000000023</v>
      </c>
      <c r="O23" s="4">
        <f>+[1]Dia!R50</f>
        <v>1949447.9419765957</v>
      </c>
      <c r="P23" s="2">
        <f t="shared" si="12"/>
        <v>260.50000000000023</v>
      </c>
      <c r="Q23" s="4">
        <f t="shared" si="12"/>
        <v>1949447.9419765957</v>
      </c>
      <c r="R23" s="4">
        <v>0</v>
      </c>
      <c r="S23" s="2">
        <f>+[1]Dia!U50</f>
        <v>386.47</v>
      </c>
      <c r="T23" s="4">
        <f>+[1]Dia!V50</f>
        <v>6558978.1210000003</v>
      </c>
      <c r="U23" s="2">
        <f>+[1]Dia!W50</f>
        <v>763.7049999999997</v>
      </c>
      <c r="V23" s="4">
        <f>+[1]Dia!X50</f>
        <v>8047018.1394359153</v>
      </c>
      <c r="W23" s="4">
        <f t="shared" si="9"/>
        <v>1252176.6830903944</v>
      </c>
      <c r="X23" s="5">
        <f t="shared" si="10"/>
        <v>0.1909103308457879</v>
      </c>
    </row>
    <row r="24" spans="1:24">
      <c r="A24" s="21" t="str">
        <f>+[1]Dia!A28</f>
        <v>Uncut - diamonds</v>
      </c>
      <c r="B24" s="2">
        <f>+[1]Dia!B32</f>
        <v>434.61</v>
      </c>
      <c r="C24" s="4">
        <f>+[1]Dia!C32</f>
        <v>657245.94283078425</v>
      </c>
      <c r="D24" s="2">
        <f>+[1]Dia!D32</f>
        <v>0</v>
      </c>
      <c r="E24" s="4">
        <f>+[1]Dia!E32</f>
        <v>0</v>
      </c>
      <c r="F24" s="4">
        <f>+[1]Dia!F32</f>
        <v>0</v>
      </c>
      <c r="G24" s="4">
        <f>+[1]Dia!G32</f>
        <v>0</v>
      </c>
      <c r="H24" s="2">
        <f>+[1]Dia!H32</f>
        <v>0</v>
      </c>
      <c r="I24" s="4">
        <f>+[1]Dia!I32</f>
        <v>0</v>
      </c>
      <c r="J24" s="2">
        <f t="shared" si="11"/>
        <v>0</v>
      </c>
      <c r="K24" s="4">
        <f t="shared" si="11"/>
        <v>0</v>
      </c>
      <c r="L24" s="2">
        <f>+[1]Dia!O32</f>
        <v>0</v>
      </c>
      <c r="M24" s="4">
        <f>+[1]Dia!P32</f>
        <v>0</v>
      </c>
      <c r="N24" s="2">
        <f>+[1]Dia!Q32</f>
        <v>327.21000000000004</v>
      </c>
      <c r="O24" s="4">
        <f>+[1]Dia!R32</f>
        <v>501676.67839229829</v>
      </c>
      <c r="P24" s="2">
        <f t="shared" si="12"/>
        <v>327.21000000000004</v>
      </c>
      <c r="Q24" s="4">
        <f t="shared" si="12"/>
        <v>501676.67839229829</v>
      </c>
      <c r="R24" s="4">
        <v>0</v>
      </c>
      <c r="S24" s="2">
        <f>+[1]Dia!U32</f>
        <v>4.4000000000000004</v>
      </c>
      <c r="T24" s="4">
        <f>+[1]Dia!V32</f>
        <v>13200</v>
      </c>
      <c r="U24" s="2">
        <f>+[1]Dia!W32</f>
        <v>103</v>
      </c>
      <c r="V24" s="4">
        <f>+[1]Dia!X32</f>
        <v>151327.7529992963</v>
      </c>
      <c r="W24" s="4">
        <f t="shared" si="9"/>
        <v>8958.4885608103359</v>
      </c>
      <c r="X24" s="5">
        <f t="shared" si="10"/>
        <v>0.67867337581896481</v>
      </c>
    </row>
    <row r="25" spans="1:24">
      <c r="A25" s="21" t="s">
        <v>327</v>
      </c>
      <c r="B25" s="2">
        <f>+[1]Dia!B81</f>
        <v>5102.5149999999985</v>
      </c>
      <c r="C25" s="4">
        <f>+[1]Dia!C81</f>
        <v>156010963.54304796</v>
      </c>
      <c r="D25" s="2">
        <f>+[1]Dia!D81</f>
        <v>0</v>
      </c>
      <c r="E25" s="2">
        <f>+[1]Dia!E81</f>
        <v>0</v>
      </c>
      <c r="F25" s="2">
        <f>+[1]Dia!F81</f>
        <v>0</v>
      </c>
      <c r="G25" s="4">
        <f>+[1]Dia!G81</f>
        <v>0</v>
      </c>
      <c r="H25" s="2">
        <f>+[1]Dia!H81</f>
        <v>3083.920000000001</v>
      </c>
      <c r="I25" s="4">
        <f>+[1]Dia!I81</f>
        <v>94341222.932311565</v>
      </c>
      <c r="J25" s="2">
        <f t="shared" si="11"/>
        <v>3083.920000000001</v>
      </c>
      <c r="K25" s="4">
        <f t="shared" si="11"/>
        <v>94341222.932311565</v>
      </c>
      <c r="L25" s="2">
        <f>+[1]Dia!O81</f>
        <v>0</v>
      </c>
      <c r="M25" s="4">
        <f>+[1]Dia!P81</f>
        <v>0</v>
      </c>
      <c r="N25" s="2">
        <f>+[1]Dia!Q81</f>
        <v>0</v>
      </c>
      <c r="O25" s="4">
        <f>+[1]Dia!R81</f>
        <v>0</v>
      </c>
      <c r="P25" s="2">
        <f t="shared" si="12"/>
        <v>0</v>
      </c>
      <c r="Q25" s="4">
        <f t="shared" si="12"/>
        <v>0</v>
      </c>
      <c r="R25" s="4">
        <v>0</v>
      </c>
      <c r="S25" s="2">
        <f>+[1]Dia!U81</f>
        <v>1992.0349999999983</v>
      </c>
      <c r="T25" s="4">
        <f>+[1]Dia!V81</f>
        <v>80532201.434999987</v>
      </c>
      <c r="U25" s="2">
        <f>+[1]Dia!W81</f>
        <v>6194.4000000000005</v>
      </c>
      <c r="V25" s="4">
        <f>+[1]Dia!X81</f>
        <v>181767471.8390649</v>
      </c>
      <c r="W25" s="4">
        <f t="shared" si="9"/>
        <v>11947486.798705369</v>
      </c>
      <c r="X25" s="5">
        <f t="shared" si="10"/>
        <v>0.14835663977655636</v>
      </c>
    </row>
    <row r="26" spans="1:24">
      <c r="A26" s="21"/>
      <c r="X26" s="5"/>
    </row>
    <row r="27" spans="1:24" ht="14.4" thickBot="1">
      <c r="A27" s="204" t="s">
        <v>328</v>
      </c>
      <c r="B27" s="132">
        <f t="shared" ref="B27:W27" si="13">SUM(B21:B26)</f>
        <v>7105.4599999999991</v>
      </c>
      <c r="C27" s="133">
        <f t="shared" si="13"/>
        <v>171504490.48357975</v>
      </c>
      <c r="D27" s="132">
        <f t="shared" si="13"/>
        <v>0</v>
      </c>
      <c r="E27" s="133">
        <f t="shared" si="13"/>
        <v>0</v>
      </c>
      <c r="F27" s="132">
        <f t="shared" si="13"/>
        <v>0</v>
      </c>
      <c r="G27" s="133">
        <f t="shared" si="13"/>
        <v>0</v>
      </c>
      <c r="H27" s="132">
        <f t="shared" si="13"/>
        <v>3405.9900000000011</v>
      </c>
      <c r="I27" s="133">
        <f t="shared" si="13"/>
        <v>100586140.89021093</v>
      </c>
      <c r="J27" s="132">
        <f t="shared" si="13"/>
        <v>3405.9900000000011</v>
      </c>
      <c r="K27" s="133">
        <f t="shared" si="13"/>
        <v>100586140.89021093</v>
      </c>
      <c r="L27" s="132">
        <f t="shared" si="13"/>
        <v>0</v>
      </c>
      <c r="M27" s="133">
        <f t="shared" si="13"/>
        <v>0</v>
      </c>
      <c r="N27" s="132">
        <f t="shared" si="13"/>
        <v>588.73000000000025</v>
      </c>
      <c r="O27" s="133">
        <f t="shared" si="13"/>
        <v>2476624.6203688942</v>
      </c>
      <c r="P27" s="132">
        <f t="shared" si="13"/>
        <v>588.73000000000025</v>
      </c>
      <c r="Q27" s="133">
        <f t="shared" si="13"/>
        <v>2476624.6203688942</v>
      </c>
      <c r="R27" s="133">
        <f t="shared" si="13"/>
        <v>0</v>
      </c>
      <c r="S27" s="132">
        <f t="shared" si="13"/>
        <v>2541.5249999999983</v>
      </c>
      <c r="T27" s="133">
        <f t="shared" si="13"/>
        <v>88687789.555999994</v>
      </c>
      <c r="U27" s="132">
        <f t="shared" si="13"/>
        <v>7381.1949999999997</v>
      </c>
      <c r="V27" s="133">
        <f t="shared" si="13"/>
        <v>194474851.16511458</v>
      </c>
      <c r="W27" s="133">
        <f t="shared" si="13"/>
        <v>13548633.967692785</v>
      </c>
      <c r="X27" s="96">
        <f t="shared" ref="X27" si="14">+W27/T27</f>
        <v>0.15276774892599834</v>
      </c>
    </row>
    <row r="28" spans="1:24" ht="14.4" thickTop="1">
      <c r="A28" s="204"/>
      <c r="B28" s="134"/>
      <c r="C28" s="135"/>
      <c r="D28" s="134"/>
      <c r="E28" s="135"/>
      <c r="F28" s="135"/>
      <c r="G28" s="135"/>
      <c r="H28" s="135"/>
      <c r="I28" s="135"/>
      <c r="J28" s="134"/>
      <c r="K28" s="135"/>
      <c r="L28" s="135"/>
      <c r="M28" s="135"/>
      <c r="N28" s="135"/>
      <c r="O28" s="135"/>
      <c r="P28" s="134"/>
      <c r="Q28" s="135"/>
      <c r="R28" s="135"/>
      <c r="S28" s="134"/>
      <c r="T28" s="135"/>
      <c r="U28" s="134"/>
      <c r="V28" s="135"/>
      <c r="W28" s="135"/>
      <c r="X28" s="205"/>
    </row>
    <row r="29" spans="1:24">
      <c r="A29" s="204" t="s">
        <v>329</v>
      </c>
      <c r="X29" s="5"/>
    </row>
    <row r="30" spans="1:24">
      <c r="A30" s="21" t="s">
        <v>205</v>
      </c>
      <c r="B30" s="2">
        <f>+[1]Prec!B49</f>
        <v>45517.49</v>
      </c>
      <c r="C30" s="4">
        <f>+[1]Prec!C49</f>
        <v>30593811.121947542</v>
      </c>
      <c r="D30" s="2">
        <f>+[1]Prec!D49</f>
        <v>0</v>
      </c>
      <c r="E30" s="4">
        <f>+[1]Prec!E49</f>
        <v>0</v>
      </c>
      <c r="F30" s="2">
        <f>+[1]Prec!F49</f>
        <v>0</v>
      </c>
      <c r="G30" s="4">
        <f>+[1]Prec!G49</f>
        <v>0</v>
      </c>
      <c r="H30" s="2">
        <f>+[1]Prec!H49</f>
        <v>481.26</v>
      </c>
      <c r="I30" s="4">
        <f>+[1]Prec!I49</f>
        <v>336690.20453769574</v>
      </c>
      <c r="J30" s="2">
        <f>+F30+H30</f>
        <v>481.26</v>
      </c>
      <c r="K30" s="4">
        <f t="shared" ref="K30:K32" si="15">+G30+I30</f>
        <v>336690.20453769574</v>
      </c>
      <c r="L30" s="4">
        <f>+[1]Prec!O49</f>
        <v>0</v>
      </c>
      <c r="M30" s="4">
        <f>+[1]Prec!P49</f>
        <v>0</v>
      </c>
      <c r="N30" s="2">
        <f>+[1]Prec!Q49</f>
        <v>23757.484000000004</v>
      </c>
      <c r="O30" s="4">
        <f>+[1]Prec!R49</f>
        <v>25729158.064685747</v>
      </c>
      <c r="P30" s="2">
        <f>+[1]Prec!S49</f>
        <v>23757.484000000004</v>
      </c>
      <c r="Q30" s="4">
        <f>+[1]Prec!T49</f>
        <v>25729158.064685747</v>
      </c>
      <c r="R30" s="4">
        <v>0</v>
      </c>
      <c r="S30" s="2">
        <f>+[1]Prec!U49</f>
        <v>15473.869999999986</v>
      </c>
      <c r="T30" s="4">
        <f>+[1]Prec!V49</f>
        <v>2145519.5</v>
      </c>
      <c r="U30" s="2">
        <f>+[1]Prec!W49</f>
        <v>6767.3960000000179</v>
      </c>
      <c r="V30" s="4">
        <f>+[1]Prec!X49</f>
        <v>3552237.9445280726</v>
      </c>
      <c r="W30" s="4">
        <f>+T30+V30+Q30-C30-E30-K30</f>
        <v>496414.18272858253</v>
      </c>
      <c r="X30" s="5">
        <f>+W30/T30</f>
        <v>0.23137248704967842</v>
      </c>
    </row>
    <row r="31" spans="1:24">
      <c r="A31" s="21" t="s">
        <v>244</v>
      </c>
      <c r="B31" s="2">
        <f>+[1]Prec!B77</f>
        <v>11170.800000000001</v>
      </c>
      <c r="C31" s="4">
        <f>+[1]Prec!C77</f>
        <v>2444265.1385538145</v>
      </c>
      <c r="D31" s="2">
        <f>+[1]Prec!D77</f>
        <v>0</v>
      </c>
      <c r="E31" s="4">
        <f>+[1]Prec!E77</f>
        <v>0</v>
      </c>
      <c r="F31" s="2">
        <f>+[1]Prec!F77</f>
        <v>0</v>
      </c>
      <c r="G31" s="4">
        <f>+[1]Prec!G77</f>
        <v>0</v>
      </c>
      <c r="H31" s="2">
        <f>+[1]Prec!H77</f>
        <v>758.66000000000008</v>
      </c>
      <c r="I31" s="4">
        <f>+[1]Prec!I77</f>
        <v>489467.22003304941</v>
      </c>
      <c r="J31" s="2">
        <f t="shared" ref="J31:J32" si="16">+F31+H31</f>
        <v>758.66000000000008</v>
      </c>
      <c r="K31" s="4">
        <f t="shared" si="15"/>
        <v>489467.22003304941</v>
      </c>
      <c r="L31" s="4">
        <f>+[1]Prec!O77</f>
        <v>0</v>
      </c>
      <c r="M31" s="4">
        <f>+[1]Prec!P77</f>
        <v>0</v>
      </c>
      <c r="N31" s="2">
        <f>+[1]Prec!Q77</f>
        <v>8080.2000000000007</v>
      </c>
      <c r="O31" s="4">
        <f>+[1]Prec!R77</f>
        <v>2049213.9110190081</v>
      </c>
      <c r="P31" s="2">
        <f>+[1]Prec!S77</f>
        <v>8080.2000000000007</v>
      </c>
      <c r="Q31" s="4">
        <f>+[1]Prec!T77</f>
        <v>2049213.9110190081</v>
      </c>
      <c r="R31" s="4">
        <v>0</v>
      </c>
      <c r="S31" s="2">
        <f>+[1]Prec!U77</f>
        <v>27.36</v>
      </c>
      <c r="T31" s="4">
        <f>+[1]Prec!V77</f>
        <v>2736</v>
      </c>
      <c r="U31" s="2">
        <f>+[1]Prec!W77</f>
        <v>3821.9000000000005</v>
      </c>
      <c r="V31" s="4">
        <f>+[1]Prec!X77</f>
        <v>882231.34324499033</v>
      </c>
      <c r="W31" s="4">
        <f t="shared" ref="W31:W32" si="17">+T31+V31+Q31-C31-E31-K31</f>
        <v>448.89567713456927</v>
      </c>
      <c r="X31" s="5">
        <f t="shared" ref="X31:X32" si="18">+W31/T31</f>
        <v>0.16407005743222561</v>
      </c>
    </row>
    <row r="32" spans="1:24">
      <c r="A32" s="21" t="s">
        <v>261</v>
      </c>
      <c r="B32" s="2">
        <f>[1]Prec!B87</f>
        <v>1217.365</v>
      </c>
      <c r="C32" s="2">
        <f>[1]Prec!C87</f>
        <v>95255.912465442743</v>
      </c>
      <c r="D32" s="2">
        <f>[1]Prec!D87</f>
        <v>0</v>
      </c>
      <c r="E32" s="2">
        <f>[1]Prec!E87</f>
        <v>0</v>
      </c>
      <c r="F32" s="2">
        <f>+[1]Prec!F87</f>
        <v>0</v>
      </c>
      <c r="G32" s="2">
        <f>+[1]Prec!G87</f>
        <v>0</v>
      </c>
      <c r="H32" s="2">
        <f>+[1]Prec!H87</f>
        <v>0</v>
      </c>
      <c r="I32" s="4">
        <f>+[1]Prec!I87</f>
        <v>0</v>
      </c>
      <c r="J32" s="2">
        <f t="shared" si="16"/>
        <v>0</v>
      </c>
      <c r="K32" s="4">
        <f t="shared" si="15"/>
        <v>0</v>
      </c>
      <c r="L32" s="4">
        <f>+[1]Prec!O87</f>
        <v>0</v>
      </c>
      <c r="M32" s="4">
        <f>+[1]Prec!P87</f>
        <v>0</v>
      </c>
      <c r="N32" s="2">
        <f>+[1]Prec!Q87</f>
        <v>754.21</v>
      </c>
      <c r="O32" s="4">
        <f>+[1]Prec!R87</f>
        <v>63681.032814733175</v>
      </c>
      <c r="P32" s="2">
        <f>[1]Prec!S87</f>
        <v>754.21</v>
      </c>
      <c r="Q32" s="2">
        <f>[1]Prec!T87</f>
        <v>63681.032814733175</v>
      </c>
      <c r="R32" s="2">
        <v>0</v>
      </c>
      <c r="S32" s="2">
        <f>[1]Prec!U87</f>
        <v>129.23999999999998</v>
      </c>
      <c r="T32" s="4">
        <f>[1]Prec!V87</f>
        <v>23862</v>
      </c>
      <c r="U32" s="2">
        <f>[1]Prec!W87</f>
        <v>333.91499999999996</v>
      </c>
      <c r="V32" s="4">
        <f>[1]Prec!X87</f>
        <v>17691.379105211599</v>
      </c>
      <c r="W32" s="4">
        <f t="shared" si="17"/>
        <v>9978.4994545020309</v>
      </c>
      <c r="X32" s="5">
        <f t="shared" si="18"/>
        <v>0.41817531868669983</v>
      </c>
    </row>
    <row r="33" spans="1:24">
      <c r="A33" s="21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  <c r="V33" s="2"/>
      <c r="X33" s="5"/>
    </row>
    <row r="34" spans="1:24" ht="28.2" thickBot="1">
      <c r="A34" s="204" t="s">
        <v>330</v>
      </c>
      <c r="B34" s="132">
        <f>+SUM(B30:B32)</f>
        <v>57905.654999999999</v>
      </c>
      <c r="C34" s="133">
        <f>+SUM(C30:C32)</f>
        <v>33133332.172966797</v>
      </c>
      <c r="D34" s="132">
        <f>+SUM(D30:D32)</f>
        <v>0</v>
      </c>
      <c r="E34" s="133">
        <f>+SUM(E30:E32)</f>
        <v>0</v>
      </c>
      <c r="F34" s="132">
        <f t="shared" ref="F34:I34" si="19">+SUM(F30:F32)</f>
        <v>0</v>
      </c>
      <c r="G34" s="133">
        <f t="shared" si="19"/>
        <v>0</v>
      </c>
      <c r="H34" s="132">
        <f>+SUM(H30:H32)</f>
        <v>1239.92</v>
      </c>
      <c r="I34" s="133">
        <f t="shared" si="19"/>
        <v>826157.42457074509</v>
      </c>
      <c r="J34" s="132">
        <f>+SUM(J30:J32)</f>
        <v>1239.92</v>
      </c>
      <c r="K34" s="133">
        <f>+SUM(K30:K32)</f>
        <v>826157.42457074509</v>
      </c>
      <c r="L34" s="132">
        <f t="shared" ref="L34:S34" si="20">+SUM(L30:L32)</f>
        <v>0</v>
      </c>
      <c r="M34" s="133">
        <f t="shared" si="20"/>
        <v>0</v>
      </c>
      <c r="N34" s="132">
        <f t="shared" si="20"/>
        <v>32591.894000000004</v>
      </c>
      <c r="O34" s="133">
        <f t="shared" si="20"/>
        <v>27842053.008519489</v>
      </c>
      <c r="P34" s="132">
        <f t="shared" si="20"/>
        <v>32591.894000000004</v>
      </c>
      <c r="Q34" s="133">
        <f t="shared" si="20"/>
        <v>27842053.008519489</v>
      </c>
      <c r="R34" s="133">
        <f t="shared" si="20"/>
        <v>0</v>
      </c>
      <c r="S34" s="132">
        <f t="shared" si="20"/>
        <v>15630.469999999987</v>
      </c>
      <c r="T34" s="133">
        <f>+SUM(T30:T32)</f>
        <v>2172117.5</v>
      </c>
      <c r="U34" s="132">
        <f>+SUM(U30:U32)</f>
        <v>10923.211000000018</v>
      </c>
      <c r="V34" s="133">
        <f>+SUM(V30:V32)</f>
        <v>4452160.6668782746</v>
      </c>
      <c r="W34" s="133">
        <f>+SUM(W30:W32)</f>
        <v>506841.57786021911</v>
      </c>
      <c r="X34" s="96">
        <f>+W34/T34</f>
        <v>0.23333985286717643</v>
      </c>
    </row>
    <row r="35" spans="1:24" ht="14.4" thickTop="1"/>
  </sheetData>
  <mergeCells count="29">
    <mergeCell ref="U18:V18"/>
    <mergeCell ref="W18:W19"/>
    <mergeCell ref="X18:X19"/>
    <mergeCell ref="J18:K18"/>
    <mergeCell ref="L18:M18"/>
    <mergeCell ref="N18:O18"/>
    <mergeCell ref="P18:Q18"/>
    <mergeCell ref="R18:R19"/>
    <mergeCell ref="S18:T18"/>
    <mergeCell ref="R2:R3"/>
    <mergeCell ref="S2:T2"/>
    <mergeCell ref="U2:V2"/>
    <mergeCell ref="W2:W3"/>
    <mergeCell ref="X2:X3"/>
    <mergeCell ref="A18:A19"/>
    <mergeCell ref="B18:C18"/>
    <mergeCell ref="D18:E18"/>
    <mergeCell ref="F18:G18"/>
    <mergeCell ref="H18:I18"/>
    <mergeCell ref="A1:X1"/>
    <mergeCell ref="A2:A3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</vt:lpstr>
      <vt:lpstr>EME</vt:lpstr>
      <vt:lpstr>PERALS</vt:lpstr>
      <vt:lpstr>RUBIE</vt:lpstr>
      <vt:lpstr>Precious</vt:lpstr>
      <vt:lpstr>trading</vt:lpstr>
      <vt:lpstr>abstract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rishitha busa</dc:creator>
  <cp:lastModifiedBy>rishitha busa</cp:lastModifiedBy>
  <dcterms:created xsi:type="dcterms:W3CDTF">2026-10-26T14:12:02Z</dcterms:created>
  <dcterms:modified xsi:type="dcterms:W3CDTF">2026-10-26T14:14:36Z</dcterms:modified>
</cp:coreProperties>
</file>