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mond" sheetId="1" state="visible" r:id="rId1"/>
    <sheet name="Emerald" sheetId="2" state="visible" r:id="rId2"/>
    <sheet name="Pearls" sheetId="3" state="visible" r:id="rId3"/>
    <sheet name="Rubie" sheetId="4" state="visible" r:id="rId4"/>
    <sheet name="Precious and Semi Precious" sheetId="5" state="visible" r:id="rId5"/>
    <sheet name="Trading" sheetId="6" state="visible" r:id="rId6"/>
    <sheet name="Abstract" sheetId="7" state="visible" r:id="rId7"/>
  </sheets>
  <definedNames>
    <definedName name="_xlnm.Print_Titles" localSheetId="0">'Diamond'!$1:$9</definedName>
    <definedName name="_xlnm.Print_Titles" localSheetId="1">'Emerald'!$1:$9</definedName>
    <definedName name="_xlnm.Print_Titles" localSheetId="2">'Pearls'!$1:$9</definedName>
    <definedName name="_xlnm.Print_Titles" localSheetId="3">'Rubie'!$1:$9</definedName>
    <definedName name="_xlnm.Print_Titles" localSheetId="4">'Precious and Semi Precious'!$1:$9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&gt;=10000000]##,##,##,##0.####;[&gt;=100000]##,##,##0.####;#,##0.####"/>
  </numFmts>
  <fonts count="15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color rgb="00334155"/>
      <sz val="11"/>
    </font>
    <font>
      <name val="Calibri"/>
      <b val="1"/>
      <color rgb="000F766E"/>
      <sz val="12"/>
    </font>
    <font>
      <name val="Calibri"/>
      <b val="1"/>
      <color rgb="00FFFFFF"/>
      <sz val="9"/>
    </font>
    <font>
      <name val="Calibri"/>
      <b val="1"/>
      <color rgb="00FFFFFF"/>
      <sz val="8"/>
    </font>
    <font>
      <name val="Calibri"/>
      <b val="1"/>
      <color rgb="000F766E"/>
      <sz val="8"/>
    </font>
    <font>
      <name val="Calibri"/>
      <b val="1"/>
      <color rgb="000F766E"/>
      <sz val="10"/>
    </font>
    <font>
      <name val="Calibri"/>
      <color rgb="000F172A"/>
      <sz val="10"/>
    </font>
    <font>
      <name val="Calibri"/>
      <b val="1"/>
      <color rgb="0092400E"/>
      <sz val="10"/>
    </font>
    <font>
      <name val="Calibri"/>
      <b val="1"/>
      <color rgb="0078350F"/>
      <sz val="10"/>
    </font>
    <font>
      <name val="Calibri"/>
      <b val="1"/>
      <color rgb="000F172A"/>
      <sz val="12"/>
    </font>
    <font>
      <name val="Calibri"/>
      <b val="1"/>
      <color rgb="00FFFFFF"/>
      <sz val="10"/>
    </font>
    <font>
      <name val="Calibri"/>
      <b val="1"/>
      <color rgb="000F172A"/>
      <sz val="11"/>
    </font>
    <font>
      <name val="Calibri"/>
      <color rgb="00334155"/>
      <sz val="10"/>
    </font>
  </fonts>
  <fills count="10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115E59"/>
      </patternFill>
    </fill>
    <fill>
      <patternFill patternType="solid">
        <fgColor rgb="00134E4A"/>
      </patternFill>
    </fill>
    <fill>
      <patternFill patternType="solid">
        <fgColor rgb="00ECFDF5"/>
      </patternFill>
    </fill>
    <fill>
      <patternFill patternType="solid">
        <fgColor rgb="00CCFBF1"/>
      </patternFill>
    </fill>
    <fill>
      <patternFill patternType="solid">
        <fgColor rgb="00FEF3C7"/>
      </patternFill>
    </fill>
    <fill>
      <patternFill patternType="solid">
        <fgColor rgb="00FDE68A"/>
      </patternFill>
    </fill>
    <fill>
      <patternFill patternType="solid">
        <fgColor rgb="0099F6E4"/>
      </patternFill>
    </fill>
  </fills>
  <borders count="11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/>
      <diagonal/>
    </border>
    <border>
      <left/>
      <right style="thin">
        <color rgb="0094A3B8"/>
      </right>
      <top style="thin">
        <color rgb="0094A3B8"/>
      </top>
      <bottom/>
      <diagonal/>
    </border>
    <border>
      <left/>
      <right style="thin">
        <color rgb="0094A3B8"/>
      </right>
      <top style="thin">
        <color rgb="0094A3B8"/>
      </top>
      <bottom style="thin">
        <color rgb="0094A3B8"/>
      </bottom>
      <diagonal/>
    </border>
    <border>
      <left/>
      <right/>
      <top style="thin">
        <color rgb="0094A3B8"/>
      </top>
      <bottom style="thin">
        <color rgb="0094A3B8"/>
      </bottom>
      <diagonal/>
    </border>
    <border>
      <left style="thin">
        <color rgb="0094A3B8"/>
      </left>
      <right style="medium">
        <color rgb="000F172A"/>
      </right>
      <top style="thin">
        <color rgb="0094A3B8"/>
      </top>
      <bottom style="thin">
        <color rgb="0094A3B8"/>
      </bottom>
    </border>
    <border/>
    <border>
      <left style="thin">
        <color rgb="0094A3B8"/>
      </left>
      <right/>
      <top/>
      <bottom/>
      <diagonal/>
    </border>
    <border>
      <left style="thin">
        <color rgb="0094A3B8"/>
      </left>
      <right style="thin">
        <color rgb="0094A3B8"/>
      </right>
      <top/>
      <bottom/>
      <diagonal/>
    </border>
    <border>
      <left style="thin">
        <color rgb="0094A3B8"/>
      </left>
      <right style="thin">
        <color rgb="0094A3B8"/>
      </right>
      <top/>
      <bottom style="thin">
        <color rgb="0094A3B8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8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0" fontId="0" fillId="0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164" fontId="9" fillId="7" borderId="1" applyAlignment="1" pivotButton="0" quotePrefix="0" xfId="0">
      <alignment horizontal="center" vertical="center" wrapText="1"/>
    </xf>
    <xf numFmtId="10" fontId="9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164" fontId="9" fillId="8" borderId="1" applyAlignment="1" pivotButton="0" quotePrefix="0" xfId="0">
      <alignment horizontal="center" vertical="center" wrapText="1"/>
    </xf>
    <xf numFmtId="10" fontId="9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164" fontId="8" fillId="0" borderId="1" applyAlignment="1" pivotButton="0" quotePrefix="0" xfId="0">
      <alignment horizontal="center" vertical="center" wrapText="1"/>
    </xf>
    <xf numFmtId="164" fontId="8" fillId="0" borderId="6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164" fontId="9" fillId="7" borderId="6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164" fontId="10" fillId="7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center" wrapText="1" indent="2"/>
    </xf>
    <xf numFmtId="164" fontId="14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Audit</author>
  </authors>
  <commentList>
    <comment ref="P11" authorId="0" shapeId="0">
      <text>
        <t>Stored Average Rate 963.9795. Average Rate = Total Amount / Total Qty.</t>
      </text>
    </comment>
    <comment ref="P12" authorId="0" shapeId="0">
      <text>
        <t>Stored Average Rate 1889.9203. Average Rate = Total Amount / Total Qty.</t>
      </text>
    </comment>
    <comment ref="P13" authorId="0" shapeId="0">
      <text>
        <t>Stored Average Rate 1512.2662. Average Rate = Total Amount / Total Qty.</t>
      </text>
    </comment>
    <comment ref="P15" authorId="0" shapeId="0">
      <text>
        <t>Stored Average Rate 5837.8429. Average Rate = Total Amount / Total Qty.</t>
      </text>
    </comment>
    <comment ref="P16" authorId="0" shapeId="0">
      <text>
        <t>Stored Average Rate 8632.0681. Average Rate = Total Amount / Total Qty.</t>
      </text>
    </comment>
    <comment ref="P17" authorId="0" shapeId="0">
      <text>
        <t>Stored Average Rate 11719.3122. Average Rate = Total Amount / Total Qty.</t>
      </text>
    </comment>
    <comment ref="P18" authorId="0" shapeId="0">
      <text>
        <t>Stored Average Rate 15008.4771. Average Rate = Total Amount / Total Qty.</t>
      </text>
    </comment>
    <comment ref="P19" authorId="0" shapeId="0">
      <text>
        <t>Stored Average Rate 14453.2983. Average Rate = Total Amount / Total Qty.</t>
      </text>
    </comment>
    <comment ref="P20" authorId="0" shapeId="0">
      <text>
        <t>Stored Average Rate 16745.7316. Average Rate = Total Amount / Total Qty.</t>
      </text>
    </comment>
    <comment ref="P21" authorId="0" shapeId="0">
      <text>
        <t>Stored Average Rate 19634.1427. Average Rate = Total Amount / Total Qty.</t>
      </text>
    </comment>
    <comment ref="P22" authorId="0" shapeId="0">
      <text>
        <t>Stored Average Rate 21651.7988. Average Rate = Total Amount / Total Qty.</t>
      </text>
    </comment>
    <comment ref="P23" authorId="0" shapeId="0">
      <text>
        <t>Stored Average Rate 25451.9301. Average Rate = Total Amount / Total Qty.</t>
      </text>
    </comment>
    <comment ref="P24" authorId="0" shapeId="0">
      <text>
        <t>Stored Average Rate 30532.183. Average Rate = Total Amount / Total Qty.</t>
      </text>
    </comment>
    <comment ref="P25" authorId="0" shapeId="0">
      <text>
        <t>Stored Average Rate 31745.7386. Average Rate = Total Amount / Total Qty.</t>
      </text>
    </comment>
    <comment ref="P26" authorId="0" shapeId="0">
      <text>
        <t>Stored Average Rate 32596.2701. Average Rate = Total Amount / Total Qty.</t>
      </text>
    </comment>
    <comment ref="P27" authorId="0" shapeId="0">
      <text>
        <t>Stored Average Rate 34271.2446. Average Rate = Total Amount / Total Qty.</t>
      </text>
    </comment>
    <comment ref="P28" authorId="0" shapeId="0">
      <text>
        <t>Stored Average Rate 44487.1503. Average Rate = Total Amount / Total Qty.</t>
      </text>
    </comment>
    <comment ref="P29" authorId="0" shapeId="0">
      <text>
        <t>Stored Average Rate 10848.1876. Average Rate = Total Amount / Total Qty.</t>
      </text>
    </comment>
    <comment ref="P31" authorId="0" shapeId="0">
      <text>
        <t>Stored Average Rate 1319.6518. Average Rate = Total Amount / Total Qty.</t>
      </text>
    </comment>
    <comment ref="P32" authorId="0" shapeId="0">
      <text>
        <t>Stored Average Rate 1319.6518. Average Rate = Total Amount / Total Qty.</t>
      </text>
    </comment>
    <comment ref="P34" authorId="0" shapeId="0">
      <text>
        <t>Stored Average Rate 8159.8167. Average Rate = Total Amount / Total Qty.</t>
      </text>
    </comment>
    <comment ref="P35" authorId="0" shapeId="0">
      <text>
        <t>Stored Average Rate 4073.8564. Average Rate = Total Amount / Total Qty.</t>
      </text>
    </comment>
    <comment ref="P36" authorId="0" shapeId="0">
      <text>
        <t>Stored Average Rate 25000.0. Average Rate = Total Amount / Total Qty.</t>
      </text>
    </comment>
    <comment ref="P37" authorId="0" shapeId="0">
      <text>
        <t>Stored Average Rate 22467.8639. Average Rate = Total Amount / Total Qty.</t>
      </text>
    </comment>
    <comment ref="P38" authorId="0" shapeId="0">
      <text>
        <t>Stored Average Rate 33788.9883. Average Rate = Total Amount / Total Qty.</t>
      </text>
    </comment>
    <comment ref="P39" authorId="0" shapeId="0">
      <text>
        <t>Stored Average Rate 35670.8839. Average Rate = Total Amount / Total Qty.</t>
      </text>
    </comment>
    <comment ref="P40" authorId="0" shapeId="0">
      <text>
        <t>Stored Average Rate 8389.4844. Average Rate = Total Amount / Total Qty.</t>
      </text>
    </comment>
    <comment ref="P41" authorId="0" shapeId="0">
      <text>
        <t>Stored Average Rate 33582.5587. Average Rate = Total Amount / Total Qty.</t>
      </text>
    </comment>
    <comment ref="P42" authorId="0" shapeId="0">
      <text>
        <t>Stored Average Rate 39126.0791. Average Rate = Total Amount / Total Qty.</t>
      </text>
    </comment>
    <comment ref="P43" authorId="0" shapeId="0">
      <text>
        <t>Stored Average Rate 0.0. Average Rate = Total Amount / Total Qty.</t>
      </text>
    </comment>
    <comment ref="P44" authorId="0" shapeId="0">
      <text>
        <t>Stored Average Rate 0.0. Average Rate = Total Amount / Total Qty.</t>
      </text>
    </comment>
    <comment ref="P45" authorId="0" shapeId="0">
      <text>
        <t>Stored Average Rate 48856.8014. Average Rate = Total Amount / Total Qty.</t>
      </text>
    </comment>
    <comment ref="P46" authorId="0" shapeId="0">
      <text>
        <t>Stored Average Rate 16382.3027. Average Rate = Total Amount / Total Qty.</t>
      </text>
    </comment>
    <comment ref="P48" authorId="0" shapeId="0">
      <text>
        <t>Stored Average Rate 14107.242. Average Rate = Total Amount / Total Qty.</t>
      </text>
    </comment>
    <comment ref="P49" authorId="0" shapeId="0">
      <text>
        <t>Stored Average Rate 19611.2032. Average Rate = Total Amount / Total Qty.</t>
      </text>
    </comment>
    <comment ref="P50" authorId="0" shapeId="0">
      <text>
        <t>Stored Average Rate 25506.7301. Average Rate = Total Amount / Total Qty.</t>
      </text>
    </comment>
    <comment ref="P51" authorId="0" shapeId="0">
      <text>
        <t>Stored Average Rate 28683.2305. Average Rate = Total Amount / Total Qty.</t>
      </text>
    </comment>
    <comment ref="P52" authorId="0" shapeId="0">
      <text>
        <t>Stored Average Rate 21927.6999. Average Rate = Total Amount / Total Qty.</t>
      </text>
    </comment>
    <comment ref="P53" authorId="0" shapeId="0">
      <text>
        <t>Stored Average Rate 38508.8258. Average Rate = Total Amount / Total Qty.</t>
      </text>
    </comment>
    <comment ref="P54" authorId="0" shapeId="0">
      <text>
        <t>Stored Average Rate 42200.8787. Average Rate = Total Amount / Total Qty.</t>
      </text>
    </comment>
    <comment ref="P55" authorId="0" shapeId="0">
      <text>
        <t>Stored Average Rate 45973.1832. Average Rate = Total Amount / Total Qty.</t>
      </text>
    </comment>
    <comment ref="P56" authorId="0" shapeId="0">
      <text>
        <t>Stored Average Rate 53617.3772. Average Rate = Total Amount / Total Qty.</t>
      </text>
    </comment>
    <comment ref="P57" authorId="0" shapeId="0">
      <text>
        <t>Stored Average Rate 63550.3215. Average Rate = Total Amount / Total Qty.</t>
      </text>
    </comment>
    <comment ref="P58" authorId="0" shapeId="0">
      <text>
        <t>Stored Average Rate 73796.5982. Average Rate = Total Amount / Total Qty.</t>
      </text>
    </comment>
    <comment ref="P59" authorId="0" shapeId="0">
      <text>
        <t>Stored Average Rate 82589.0667. Average Rate = Total Amount / Total Qty.</t>
      </text>
    </comment>
    <comment ref="P60" authorId="0" shapeId="0">
      <text>
        <t>Stored Average Rate 97203.6689. Average Rate = Total Amount / Total Qty.</t>
      </text>
    </comment>
    <comment ref="P61" authorId="0" shapeId="0">
      <text>
        <t>Stored Average Rate 105788.9907. Average Rate = Total Amount / Total Qty.</t>
      </text>
    </comment>
    <comment ref="P62" authorId="0" shapeId="0">
      <text>
        <t>Stored Average Rate 116381.1881. Average Rate = Total Amount / Total Qty.</t>
      </text>
    </comment>
    <comment ref="P63" authorId="0" shapeId="0">
      <text>
        <t>Stored Average Rate 125642.8571. Average Rate = Total Amount / Total Qty.</t>
      </text>
    </comment>
    <comment ref="P64" authorId="0" shapeId="0">
      <text>
        <t>Stored Average Rate 239718.75. Average Rate = Total Amount / Total Qty.</t>
      </text>
    </comment>
    <comment ref="P65" authorId="0" shapeId="0">
      <text>
        <t>Stored Average Rate 282786.1111. Average Rate = Total Amount / Total Qty.</t>
      </text>
    </comment>
    <comment ref="P66" authorId="0" shapeId="0">
      <text>
        <t>Stored Average Rate 681901.8389. Average Rate = Total Amount / Total Qty.</t>
      </text>
    </comment>
    <comment ref="P67" authorId="0" shapeId="0">
      <text>
        <t>Stored Average Rate 27881.5942. Average Rate = Total Amount / Total Qty.</t>
      </text>
    </comment>
    <comment ref="P68" authorId="0" shapeId="0">
      <text>
        <t>Stored Average Rate 23603.6441. Average Rate = Total Amount / Total Qty.</t>
      </text>
    </comment>
  </commentList>
</comments>
</file>

<file path=xl/comments/comment2.xml><?xml version="1.0" encoding="utf-8"?>
<comments xmlns="http://schemas.openxmlformats.org/spreadsheetml/2006/main">
  <authors>
    <author>Audit</author>
  </authors>
  <commentList>
    <comment ref="P10" authorId="0" shapeId="0">
      <text>
        <t>Stored Average Rate 6.1939. Average Rate = Total Amount / Total Qty.</t>
      </text>
    </comment>
    <comment ref="P11" authorId="0" shapeId="0">
      <text>
        <t>Stored Average Rate 58.8176. Average Rate = Total Amount / Total Qty.</t>
      </text>
    </comment>
    <comment ref="P12" authorId="0" shapeId="0">
      <text>
        <t>Stored Average Rate 63.4319. Average Rate = Total Amount / Total Qty.</t>
      </text>
    </comment>
    <comment ref="P13" authorId="0" shapeId="0">
      <text>
        <t>Stored Average Rate 135.5192. Average Rate = Total Amount / Total Qty.</t>
      </text>
    </comment>
    <comment ref="P14" authorId="0" shapeId="0">
      <text>
        <t>Stored Average Rate 218.5467. Average Rate = Total Amount / Total Qty.</t>
      </text>
    </comment>
    <comment ref="P15" authorId="0" shapeId="0">
      <text>
        <t>Stored Average Rate 243.3495. Average Rate = Total Amount / Total Qty.</t>
      </text>
    </comment>
    <comment ref="P16" authorId="0" shapeId="0">
      <text>
        <t>Stored Average Rate 269.3881. Average Rate = Total Amount / Total Qty.</t>
      </text>
    </comment>
    <comment ref="P17" authorId="0" shapeId="0">
      <text>
        <t>Stored Average Rate 353.1878. Average Rate = Total Amount / Total Qty.</t>
      </text>
    </comment>
    <comment ref="P18" authorId="0" shapeId="0">
      <text>
        <t>Stored Average Rate 427.5171. Average Rate = Total Amount / Total Qty.</t>
      </text>
    </comment>
    <comment ref="P19" authorId="0" shapeId="0">
      <text>
        <t>Stored Average Rate 439.7603. Average Rate = Total Amount / Total Qty.</t>
      </text>
    </comment>
    <comment ref="P20" authorId="0" shapeId="0">
      <text>
        <t>Stored Average Rate 574.8956. Average Rate = Total Amount / Total Qty.</t>
      </text>
    </comment>
    <comment ref="P21" authorId="0" shapeId="0">
      <text>
        <t>Stored Average Rate 600.0. Average Rate = Total Amount / Total Qty.</t>
      </text>
    </comment>
    <comment ref="P22" authorId="0" shapeId="0">
      <text>
        <t>Stored Average Rate 647.2941. Average Rate = Total Amount / Total Qty.</t>
      </text>
    </comment>
    <comment ref="P23" authorId="0" shapeId="0">
      <text>
        <t>Stored Average Rate 653.0734. Average Rate = Total Amount / Total Qty.</t>
      </text>
    </comment>
    <comment ref="P24" authorId="0" shapeId="0">
      <text>
        <t>Stored Average Rate 706.4033. Average Rate = Total Amount / Total Qty.</t>
      </text>
    </comment>
    <comment ref="P25" authorId="0" shapeId="0">
      <text>
        <t>Stored Average Rate 759.1213. Average Rate = Total Amount / Total Qty.</t>
      </text>
    </comment>
    <comment ref="P26" authorId="0" shapeId="0">
      <text>
        <t>Stored Average Rate 853.4302. Average Rate = Total Amount / Total Qty.</t>
      </text>
    </comment>
    <comment ref="P27" authorId="0" shapeId="0">
      <text>
        <t>Stored Average Rate 996.2006. Average Rate = Total Amount / Total Qty.</t>
      </text>
    </comment>
    <comment ref="P28" authorId="0" shapeId="0">
      <text>
        <t>Stored Average Rate 1100.3551. Average Rate = Total Amount / Total Qty.</t>
      </text>
    </comment>
    <comment ref="P29" authorId="0" shapeId="0">
      <text>
        <t>Stored Average Rate 1200.0. Average Rate = Total Amount / Total Qty.</t>
      </text>
    </comment>
    <comment ref="P30" authorId="0" shapeId="0">
      <text>
        <t>Stored Average Rate 1292.9377. Average Rate = Total Amount / Total Qty.</t>
      </text>
    </comment>
    <comment ref="P31" authorId="0" shapeId="0">
      <text>
        <t>Stored Average Rate 1920.2156. Average Rate = Total Amount / Total Qty.</t>
      </text>
    </comment>
    <comment ref="P32" authorId="0" shapeId="0">
      <text>
        <t>Stored Average Rate 1399.3141. Average Rate = Total Amount / Total Qty.</t>
      </text>
    </comment>
    <comment ref="P33" authorId="0" shapeId="0">
      <text>
        <t>Stored Average Rate 2100.0. Average Rate = Total Amount / Total Qty.</t>
      </text>
    </comment>
    <comment ref="P34" authorId="0" shapeId="0">
      <text>
        <t>Stored Average Rate 2216.0237. Average Rate = Total Amount / Total Qty.</t>
      </text>
    </comment>
    <comment ref="P35" authorId="0" shapeId="0">
      <text>
        <t>Stored Average Rate 1810.7509. Average Rate = Total Amount / Total Qty.</t>
      </text>
    </comment>
    <comment ref="P36" authorId="0" shapeId="0">
      <text>
        <t>Stored Average Rate 1864.2115. Average Rate = Total Amount / Total Qty.</t>
      </text>
    </comment>
    <comment ref="P37" authorId="0" shapeId="0">
      <text>
        <t>Stored Average Rate 1991.018. Average Rate = Total Amount / Total Qty.</t>
      </text>
    </comment>
    <comment ref="P38" authorId="0" shapeId="0">
      <text>
        <t>Stored Average Rate 2171.1459. Average Rate = Total Amount / Total Qty.</t>
      </text>
    </comment>
    <comment ref="P39" authorId="0" shapeId="0">
      <text>
        <t>Stored Average Rate 3100.0. Average Rate = Total Amount / Total Qty.</t>
      </text>
    </comment>
    <comment ref="P40" authorId="0" shapeId="0">
      <text>
        <t>Stored Average Rate 3200.0. Average Rate = Total Amount / Total Qty.</t>
      </text>
    </comment>
    <comment ref="P41" authorId="0" shapeId="0">
      <text>
        <t>Stored Average Rate 2493.1957. Average Rate = Total Amount / Total Qty.</t>
      </text>
    </comment>
    <comment ref="P42" authorId="0" shapeId="0">
      <text>
        <t>Stored Average Rate 2623.6842. Average Rate = Total Amount / Total Qty.</t>
      </text>
    </comment>
    <comment ref="P43" authorId="0" shapeId="0">
      <text>
        <t>Stored Average Rate 2722.463. Average Rate = Total Amount / Total Qty.</t>
      </text>
    </comment>
    <comment ref="P44" authorId="0" shapeId="0">
      <text>
        <t>Stored Average Rate 2773.5202. Average Rate = Total Amount / Total Qty.</t>
      </text>
    </comment>
    <comment ref="P45" authorId="0" shapeId="0">
      <text>
        <t>Stored Average Rate 2883.75. Average Rate = Total Amount / Total Qty.</t>
      </text>
    </comment>
    <comment ref="P46" authorId="0" shapeId="0">
      <text>
        <t>Stored Average Rate 3235.7616. Average Rate = Total Amount / Total Qty.</t>
      </text>
    </comment>
    <comment ref="P47" authorId="0" shapeId="0">
      <text>
        <t>Stored Average Rate 3508.7366. Average Rate = Total Amount / Total Qty.</t>
      </text>
    </comment>
    <comment ref="P48" authorId="0" shapeId="0">
      <text>
        <t>Stored Average Rate 3595.3708. Average Rate = Total Amount / Total Qty.</t>
      </text>
    </comment>
    <comment ref="P49" authorId="0" shapeId="0">
      <text>
        <t>Stored Average Rate 3995.7746. Average Rate = Total Amount / Total Qty.</t>
      </text>
    </comment>
    <comment ref="P50" authorId="0" shapeId="0">
      <text>
        <t>Stored Average Rate 5835.443. Average Rate = Total Amount / Total Qty.</t>
      </text>
    </comment>
    <comment ref="P51" authorId="0" shapeId="0">
      <text>
        <t>Stored Average Rate 4304.0577. Average Rate = Total Amount / Total Qty.</t>
      </text>
    </comment>
    <comment ref="P52" authorId="0" shapeId="0">
      <text>
        <t>Stored Average Rate 5005.3221. Average Rate = Total Amount / Total Qty.</t>
      </text>
    </comment>
    <comment ref="P53" authorId="0" shapeId="0">
      <text>
        <t>Stored Average Rate 7000.0. Average Rate = Total Amount / Total Qty.</t>
      </text>
    </comment>
    <comment ref="P54" authorId="0" shapeId="0">
      <text>
        <t>Stored Average Rate 6952.7085. Average Rate = Total Amount / Total Qty.</t>
      </text>
    </comment>
    <comment ref="P55" authorId="0" shapeId="0">
      <text>
        <t>Stored Average Rate 5763.4384. Average Rate = Total Amount / Total Qty.</t>
      </text>
    </comment>
    <comment ref="P56" authorId="0" shapeId="0">
      <text>
        <t>Stored Average Rate 7901.2132. Average Rate = Total Amount / Total Qty.</t>
      </text>
    </comment>
    <comment ref="P57" authorId="0" shapeId="0">
      <text>
        <t>Stored Average Rate 7567.2425. Average Rate = Total Amount / Total Qty.</t>
      </text>
    </comment>
    <comment ref="P58" authorId="0" shapeId="0">
      <text>
        <t>Stored Average Rate 8051.1561. Average Rate = Total Amount / Total Qty.</t>
      </text>
    </comment>
    <comment ref="P59" authorId="0" shapeId="0">
      <text>
        <t>Stored Average Rate 11004.5405. Average Rate = Total Amount / Total Qty.</t>
      </text>
    </comment>
    <comment ref="P60" authorId="0" shapeId="0">
      <text>
        <t>Stored Average Rate 16489.7959. Average Rate = Total Amount / Total Qty.</t>
      </text>
    </comment>
    <comment ref="P61" authorId="0" shapeId="0">
      <text>
        <t>Stored Average Rate 241.6189. Average Rate = Total Amount / Total Qty.</t>
      </text>
    </comment>
  </commentList>
</comments>
</file>

<file path=xl/comments/comment3.xml><?xml version="1.0" encoding="utf-8"?>
<comments xmlns="http://schemas.openxmlformats.org/spreadsheetml/2006/main">
  <authors>
    <author>Audit</author>
  </authors>
  <commentList>
    <comment ref="P10" authorId="0" shapeId="0">
      <text>
        <t>Stored Average Rate 0.0. Average Rate = Total Amount / Total Qty.</t>
      </text>
    </comment>
    <comment ref="P11" authorId="0" shapeId="0">
      <text>
        <t>Stored Average Rate 62.0873. Average Rate = Total Amount / Total Qty.</t>
      </text>
    </comment>
    <comment ref="P12" authorId="0" shapeId="0">
      <text>
        <t>Stored Average Rate 77.3443. Average Rate = Total Amount / Total Qty.</t>
      </text>
    </comment>
    <comment ref="P13" authorId="0" shapeId="0">
      <text>
        <t>Stored Average Rate 46.3606. Average Rate = Total Amount / Total Qty.</t>
      </text>
    </comment>
    <comment ref="P14" authorId="0" shapeId="0">
      <text>
        <t>Stored Average Rate 209.9999. Average Rate = Total Amount / Total Qty.</t>
      </text>
    </comment>
    <comment ref="P15" authorId="0" shapeId="0">
      <text>
        <t>Stored Average Rate 0.4046. Average Rate = Total Amount / Total Qty.</t>
      </text>
    </comment>
    <comment ref="P16" authorId="0" shapeId="0">
      <text>
        <t>Stored Average Rate 251.2313. Average Rate = Total Amount / Total Qty.</t>
      </text>
    </comment>
    <comment ref="P17" authorId="0" shapeId="0">
      <text>
        <t>Stored Average Rate 299.1361. Average Rate = Total Amount / Total Qty.</t>
      </text>
    </comment>
    <comment ref="P18" authorId="0" shapeId="0">
      <text>
        <t>Stored Average Rate 300.0. Average Rate = Total Amount / Total Qty.</t>
      </text>
    </comment>
    <comment ref="P19" authorId="0" shapeId="0">
      <text>
        <t>Stored Average Rate 359.3988. Average Rate = Total Amount / Total Qty.</t>
      </text>
    </comment>
    <comment ref="P20" authorId="0" shapeId="0">
      <text>
        <t>Stored Average Rate 399.3056. Average Rate = Total Amount / Total Qty.</t>
      </text>
    </comment>
    <comment ref="P21" authorId="0" shapeId="0">
      <text>
        <t>Stored Average Rate 0.0. Average Rate = Total Amount / Total Qty.</t>
      </text>
    </comment>
    <comment ref="P22" authorId="0" shapeId="0">
      <text>
        <t>Stored Average Rate 499.3162. Average Rate = Total Amount / Total Qty.</t>
      </text>
    </comment>
    <comment ref="P23" authorId="0" shapeId="0">
      <text>
        <t>Stored Average Rate 950.0641. Average Rate = Total Amount / Total Qty.</t>
      </text>
    </comment>
    <comment ref="P24" authorId="0" shapeId="0">
      <text>
        <t>Stored Average Rate 994.7782. Average Rate = Total Amount / Total Qty.</t>
      </text>
    </comment>
    <comment ref="P25" authorId="0" shapeId="0">
      <text>
        <t>Stored Average Rate 1049.9994. Average Rate = Total Amount / Total Qty.</t>
      </text>
    </comment>
    <comment ref="P26" authorId="0" shapeId="0">
      <text>
        <t>Stored Average Rate 1200.0. Average Rate = Total Amount / Total Qty.</t>
      </text>
    </comment>
    <comment ref="P27" authorId="0" shapeId="0">
      <text>
        <t>Stored Average Rate 897.3186. Average Rate = Total Amount / Total Qty.</t>
      </text>
    </comment>
    <comment ref="P28" authorId="0" shapeId="0">
      <text>
        <t>Stored Average Rate 1067.0013. Average Rate = Total Amount / Total Qty.</t>
      </text>
    </comment>
    <comment ref="P29" authorId="0" shapeId="0">
      <text>
        <t>Stored Average Rate 1092.8626. Average Rate = Total Amount / Total Qty.</t>
      </text>
    </comment>
    <comment ref="P30" authorId="0" shapeId="0">
      <text>
        <t>Stored Average Rate 1607.4897. Average Rate = Total Amount / Total Qty.</t>
      </text>
    </comment>
    <comment ref="P31" authorId="0" shapeId="0">
      <text>
        <t>Stored Average Rate 1899.9098. Average Rate = Total Amount / Total Qty.</t>
      </text>
    </comment>
    <comment ref="P32" authorId="0" shapeId="0">
      <text>
        <t>Stored Average Rate 1429.0107. Average Rate = Total Amount / Total Qty.</t>
      </text>
    </comment>
    <comment ref="P33" authorId="0" shapeId="0">
      <text>
        <t>Stored Average Rate 1600.2253. Average Rate = Total Amount / Total Qty.</t>
      </text>
    </comment>
    <comment ref="P34" authorId="0" shapeId="0">
      <text>
        <t>Stored Average Rate 1800.1627. Average Rate = Total Amount / Total Qty.</t>
      </text>
    </comment>
    <comment ref="P35" authorId="0" shapeId="0">
      <text>
        <t>Stored Average Rate 1919.3182. Average Rate = Total Amount / Total Qty.</t>
      </text>
    </comment>
    <comment ref="P36" authorId="0" shapeId="0">
      <text>
        <t>Stored Average Rate 2427.6039. Average Rate = Total Amount / Total Qty.</t>
      </text>
    </comment>
    <comment ref="P37" authorId="0" shapeId="0">
      <text>
        <t>Stored Average Rate 408.8297. Average Rate = Total Amount / Total Qty.</t>
      </text>
    </comment>
  </commentList>
</comments>
</file>

<file path=xl/comments/comment4.xml><?xml version="1.0" encoding="utf-8"?>
<comments xmlns="http://schemas.openxmlformats.org/spreadsheetml/2006/main">
  <authors>
    <author>Audit</author>
  </authors>
  <commentList>
    <comment ref="P10" authorId="0" shapeId="0">
      <text>
        <t>Stored Average Rate 0.0. Average Rate = Total Amount / Total Qty.</t>
      </text>
    </comment>
    <comment ref="P11" authorId="0" shapeId="0">
      <text>
        <t>Stored Average Rate 73.9374. Average Rate = Total Amount / Total Qty.</t>
      </text>
    </comment>
    <comment ref="P12" authorId="0" shapeId="0">
      <text>
        <t>Stored Average Rate 99.2128. Average Rate = Total Amount / Total Qty.</t>
      </text>
    </comment>
    <comment ref="P13" authorId="0" shapeId="0">
      <text>
        <t>Stored Average Rate 263.665. Average Rate = Total Amount / Total Qty.</t>
      </text>
    </comment>
    <comment ref="P14" authorId="0" shapeId="0">
      <text>
        <t>Stored Average Rate 289.8108. Average Rate = Total Amount / Total Qty.</t>
      </text>
    </comment>
    <comment ref="P15" authorId="0" shapeId="0">
      <text>
        <t>Stored Average Rate 327.3564. Average Rate = Total Amount / Total Qty.</t>
      </text>
    </comment>
    <comment ref="P16" authorId="0" shapeId="0">
      <text>
        <t>Stored Average Rate 399.4828. Average Rate = Total Amount / Total Qty.</t>
      </text>
    </comment>
    <comment ref="P17" authorId="0" shapeId="0">
      <text>
        <t>Stored Average Rate 387.4896. Average Rate = Total Amount / Total Qty.</t>
      </text>
    </comment>
    <comment ref="P18" authorId="0" shapeId="0">
      <text>
        <t>Stored Average Rate 571.674. Average Rate = Total Amount / Total Qty.</t>
      </text>
    </comment>
    <comment ref="P19" authorId="0" shapeId="0">
      <text>
        <t>Stored Average Rate 645.9223. Average Rate = Total Amount / Total Qty.</t>
      </text>
    </comment>
    <comment ref="P20" authorId="0" shapeId="0">
      <text>
        <t>Stored Average Rate 938.8075. Average Rate = Total Amount / Total Qty.</t>
      </text>
    </comment>
    <comment ref="P21" authorId="0" shapeId="0">
      <text>
        <t>Stored Average Rate 1063.8505. Average Rate = Total Amount / Total Qty.</t>
      </text>
    </comment>
    <comment ref="P22" authorId="0" shapeId="0">
      <text>
        <t>Stored Average Rate 854.4307. Average Rate = Total Amount / Total Qty.</t>
      </text>
    </comment>
    <comment ref="P23" authorId="0" shapeId="0">
      <text>
        <t>Stored Average Rate 1260.0043. Average Rate = Total Amount / Total Qty.</t>
      </text>
    </comment>
    <comment ref="P24" authorId="0" shapeId="0">
      <text>
        <t>Stored Average Rate 1177.2267. Average Rate = Total Amount / Total Qty.</t>
      </text>
    </comment>
    <comment ref="P25" authorId="0" shapeId="0">
      <text>
        <t>Stored Average Rate 1470.0009. Average Rate = Total Amount / Total Qty.</t>
      </text>
    </comment>
    <comment ref="P26" authorId="0" shapeId="0">
      <text>
        <t>Stored Average Rate 1293.9496. Average Rate = Total Amount / Total Qty.</t>
      </text>
    </comment>
    <comment ref="P27" authorId="0" shapeId="0">
      <text>
        <t>Stored Average Rate 2000.0. Average Rate = Total Amount / Total Qty.</t>
      </text>
    </comment>
    <comment ref="P28" authorId="0" shapeId="0">
      <text>
        <t>Stored Average Rate 2600.0. Average Rate = Total Amount / Total Qty.</t>
      </text>
    </comment>
    <comment ref="P29" authorId="0" shapeId="0">
      <text>
        <t>Stored Average Rate 2738.4075. Average Rate = Total Amount / Total Qty.</t>
      </text>
    </comment>
    <comment ref="P30" authorId="0" shapeId="0">
      <text>
        <t>Stored Average Rate 2799.1667. Average Rate = Total Amount / Total Qty.</t>
      </text>
    </comment>
    <comment ref="P31" authorId="0" shapeId="0">
      <text>
        <t>Stored Average Rate 2898.9744. Average Rate = Total Amount / Total Qty.</t>
      </text>
    </comment>
    <comment ref="P32" authorId="0" shapeId="0">
      <text>
        <t>Stored Average Rate 3251.1628. Average Rate = Total Amount / Total Qty.</t>
      </text>
    </comment>
    <comment ref="P33" authorId="0" shapeId="0">
      <text>
        <t>Stored Average Rate 3572.0. Average Rate = Total Amount / Total Qty.</t>
      </text>
    </comment>
    <comment ref="P34" authorId="0" shapeId="0">
      <text>
        <t>Stored Average Rate 4001.3761. Average Rate = Total Amount / Total Qty.</t>
      </text>
    </comment>
    <comment ref="P35" authorId="0" shapeId="0">
      <text>
        <t>Stored Average Rate 4378.2585. Average Rate = Total Amount / Total Qty.</t>
      </text>
    </comment>
    <comment ref="P36" authorId="0" shapeId="0">
      <text>
        <t>Stored Average Rate 4830.3544. Average Rate = Total Amount / Total Qty.</t>
      </text>
    </comment>
    <comment ref="P37" authorId="0" shapeId="0">
      <text>
        <t>Stored Average Rate 4939.7436. Average Rate = Total Amount / Total Qty.</t>
      </text>
    </comment>
    <comment ref="P38" authorId="0" shapeId="0">
      <text>
        <t>Stored Average Rate 12400.0. Average Rate = Total Amount / Total Qty.</t>
      </text>
    </comment>
    <comment ref="P39" authorId="0" shapeId="0">
      <text>
        <t>Stored Average Rate 284.1808. Average Rate = Total Amount / Total Qty.</t>
      </text>
    </comment>
  </commentList>
</comments>
</file>

<file path=xl/comments/comment5.xml><?xml version="1.0" encoding="utf-8"?>
<comments xmlns="http://schemas.openxmlformats.org/spreadsheetml/2006/main">
  <authors>
    <author>Audit</author>
  </authors>
  <commentList>
    <comment ref="P11" authorId="0" shapeId="0">
      <text>
        <t>Stored Average Rate 51.0474. Average Rate = Total Amount / Total Qty.</t>
      </text>
    </comment>
    <comment ref="P12" authorId="0" shapeId="0">
      <text>
        <t>Stored Average Rate 67.9262. Average Rate = Total Amount / Total Qty.</t>
      </text>
    </comment>
    <comment ref="P13" authorId="0" shapeId="0">
      <text>
        <t>Stored Average Rate 135.6167. Average Rate = Total Amount / Total Qty.</t>
      </text>
    </comment>
    <comment ref="P14" authorId="0" shapeId="0">
      <text>
        <t>Stored Average Rate 195.0481. Average Rate = Total Amount / Total Qty.</t>
      </text>
    </comment>
    <comment ref="P15" authorId="0" shapeId="0">
      <text>
        <t>Stored Average Rate 228.7086. Average Rate = Total Amount / Total Qty.</t>
      </text>
    </comment>
    <comment ref="P16" authorId="0" shapeId="0">
      <text>
        <t>Stored Average Rate 279.6339. Average Rate = Total Amount / Total Qty.</t>
      </text>
    </comment>
    <comment ref="P17" authorId="0" shapeId="0">
      <text>
        <t>Stored Average Rate 338.6211. Average Rate = Total Amount / Total Qty.</t>
      </text>
    </comment>
    <comment ref="P18" authorId="0" shapeId="0">
      <text>
        <t>Stored Average Rate 284.7874. Average Rate = Total Amount / Total Qty.</t>
      </text>
    </comment>
    <comment ref="P19" authorId="0" shapeId="0">
      <text>
        <t>Stored Average Rate 431.9276. Average Rate = Total Amount / Total Qty.</t>
      </text>
    </comment>
    <comment ref="P20" authorId="0" shapeId="0">
      <text>
        <t>Stored Average Rate 464.2945. Average Rate = Total Amount / Total Qty.</t>
      </text>
    </comment>
    <comment ref="P21" authorId="0" shapeId="0">
      <text>
        <t>Stored Average Rate 530.0001. Average Rate = Total Amount / Total Qty.</t>
      </text>
    </comment>
    <comment ref="P22" authorId="0" shapeId="0">
      <text>
        <t>Stored Average Rate 579.376. Average Rate = Total Amount / Total Qty.</t>
      </text>
    </comment>
    <comment ref="P23" authorId="0" shapeId="0">
      <text>
        <t>Stored Average Rate 628.6419. Average Rate = Total Amount / Total Qty.</t>
      </text>
    </comment>
    <comment ref="P24" authorId="0" shapeId="0">
      <text>
        <t>Stored Average Rate 604.7976. Average Rate = Total Amount / Total Qty.</t>
      </text>
    </comment>
    <comment ref="P25" authorId="0" shapeId="0">
      <text>
        <t>Stored Average Rate 729.9998. Average Rate = Total Amount / Total Qty.</t>
      </text>
    </comment>
    <comment ref="P26" authorId="0" shapeId="0">
      <text>
        <t>Stored Average Rate 639.1759. Average Rate = Total Amount / Total Qty.</t>
      </text>
    </comment>
    <comment ref="P27" authorId="0" shapeId="0">
      <text>
        <t>Stored Average Rate 910.0. Average Rate = Total Amount / Total Qty.</t>
      </text>
    </comment>
    <comment ref="P28" authorId="0" shapeId="0">
      <text>
        <t>Stored Average Rate 259.3472. Average Rate = Total Amount / Total Qty.</t>
      </text>
    </comment>
    <comment ref="P29" authorId="0" shapeId="0">
      <text>
        <t>Stored Average Rate 900.5084. Average Rate = Total Amount / Total Qty.</t>
      </text>
    </comment>
    <comment ref="P30" authorId="0" shapeId="0">
      <text>
        <t>Stored Average Rate 1200.0. Average Rate = Total Amount / Total Qty.</t>
      </text>
    </comment>
    <comment ref="P31" authorId="0" shapeId="0">
      <text>
        <t>Stored Average Rate 908.9286. Average Rate = Total Amount / Total Qty.</t>
      </text>
    </comment>
    <comment ref="P32" authorId="0" shapeId="0">
      <text>
        <t>Stored Average Rate 1375.0. Average Rate = Total Amount / Total Qty.</t>
      </text>
    </comment>
    <comment ref="P33" authorId="0" shapeId="0">
      <text>
        <t>Stored Average Rate 1115.4717. Average Rate = Total Amount / Total Qty.</t>
      </text>
    </comment>
    <comment ref="P34" authorId="0" shapeId="0">
      <text>
        <t>Stored Average Rate 1684.9935. Average Rate = Total Amount / Total Qty.</t>
      </text>
    </comment>
    <comment ref="P35" authorId="0" shapeId="0">
      <text>
        <t>Stored Average Rate 1290.6674. Average Rate = Total Amount / Total Qty.</t>
      </text>
    </comment>
    <comment ref="P36" authorId="0" shapeId="0">
      <text>
        <t>Stored Average Rate 1845.0072. Average Rate = Total Amount / Total Qty.</t>
      </text>
    </comment>
    <comment ref="P37" authorId="0" shapeId="0">
      <text>
        <t>Stored Average Rate 1738.8111. Average Rate = Total Amount / Total Qty.</t>
      </text>
    </comment>
    <comment ref="P38" authorId="0" shapeId="0">
      <text>
        <t>Stored Average Rate 2100.0. Average Rate = Total Amount / Total Qty.</t>
      </text>
    </comment>
    <comment ref="P39" authorId="0" shapeId="0">
      <text>
        <t>Stored Average Rate 1787.4543. Average Rate = Total Amount / Total Qty.</t>
      </text>
    </comment>
    <comment ref="P40" authorId="0" shapeId="0">
      <text>
        <t>Stored Average Rate 2105.9016. Average Rate = Total Amount / Total Qty.</t>
      </text>
    </comment>
    <comment ref="P41" authorId="0" shapeId="0">
      <text>
        <t>Stored Average Rate 2500.0. Average Rate = Total Amount / Total Qty.</t>
      </text>
    </comment>
    <comment ref="P42" authorId="0" shapeId="0">
      <text>
        <t>Stored Average Rate 5100.0. Average Rate = Total Amount / Total Qty.</t>
      </text>
    </comment>
    <comment ref="P43" authorId="0" shapeId="0">
      <text>
        <t>Stored Average Rate 5500.0. Average Rate = Total Amount / Total Qty.</t>
      </text>
    </comment>
    <comment ref="P44" authorId="0" shapeId="0">
      <text>
        <t>Stored Average Rate 4071.6489. Average Rate = Total Amount / Total Qty.</t>
      </text>
    </comment>
    <comment ref="P45" authorId="0" shapeId="0">
      <text>
        <t>Stored Average Rate 5800.0. Average Rate = Total Amount / Total Qty.</t>
      </text>
    </comment>
    <comment ref="P46" authorId="0" shapeId="0">
      <text>
        <t>Stored Average Rate 5771.5152. Average Rate = Total Amount / Total Qty.</t>
      </text>
    </comment>
    <comment ref="P47" authorId="0" shapeId="0">
      <text>
        <t>Stored Average Rate 7123.1579. Average Rate = Total Amount / Total Qty.</t>
      </text>
    </comment>
    <comment ref="P48" authorId="0" shapeId="0">
      <text>
        <t>Stored Average Rate 19054.2595. Average Rate = Total Amount / Total Qty.</t>
      </text>
    </comment>
    <comment ref="P49" authorId="0" shapeId="0">
      <text>
        <t>Stored Average Rate 666.6311. Average Rate = Total Amount / Total Qty.</t>
      </text>
    </comment>
    <comment ref="P51" authorId="0" shapeId="0">
      <text>
        <t>Stored Average Rate 24.2033. Average Rate = Total Amount / Total Qty.</t>
      </text>
    </comment>
    <comment ref="P52" authorId="0" shapeId="0">
      <text>
        <t>Stored Average Rate 83.5931. Average Rate = Total Amount / Total Qty.</t>
      </text>
    </comment>
    <comment ref="P53" authorId="0" shapeId="0">
      <text>
        <t>Stored Average Rate 114.7091. Average Rate = Total Amount / Total Qty.</t>
      </text>
    </comment>
    <comment ref="P54" authorId="0" shapeId="0">
      <text>
        <t>Stored Average Rate 182.8038. Average Rate = Total Amount / Total Qty.</t>
      </text>
    </comment>
    <comment ref="P55" authorId="0" shapeId="0">
      <text>
        <t>Stored Average Rate 279.8108. Average Rate = Total Amount / Total Qty.</t>
      </text>
    </comment>
    <comment ref="P56" authorId="0" shapeId="0">
      <text>
        <t>Stored Average Rate 314.9996. Average Rate = Total Amount / Total Qty.</t>
      </text>
    </comment>
    <comment ref="P57" authorId="0" shapeId="0">
      <text>
        <t>Stored Average Rate 457.6794. Average Rate = Total Amount / Total Qty.</t>
      </text>
    </comment>
    <comment ref="P58" authorId="0" shapeId="0">
      <text>
        <t>Stored Average Rate 519.9992. Average Rate = Total Amount / Total Qty.</t>
      </text>
    </comment>
    <comment ref="P59" authorId="0" shapeId="0">
      <text>
        <t>Stored Average Rate 412.9479. Average Rate = Total Amount / Total Qty.</t>
      </text>
    </comment>
    <comment ref="P60" authorId="0" shapeId="0">
      <text>
        <t>Stored Average Rate 464.1935. Average Rate = Total Amount / Total Qty.</t>
      </text>
    </comment>
    <comment ref="P61" authorId="0" shapeId="0">
      <text>
        <t>Stored Average Rate 517.6719. Average Rate = Total Amount / Total Qty.</t>
      </text>
    </comment>
    <comment ref="P62" authorId="0" shapeId="0">
      <text>
        <t>Stored Average Rate 580.7573. Average Rate = Total Amount / Total Qty.</t>
      </text>
    </comment>
    <comment ref="P63" authorId="0" shapeId="0">
      <text>
        <t>Stored Average Rate 27.5849. Average Rate = Total Amount / Total Qty.</t>
      </text>
    </comment>
    <comment ref="P64" authorId="0" shapeId="0">
      <text>
        <t>Stored Average Rate 710.7874. Average Rate = Total Amount / Total Qty.</t>
      </text>
    </comment>
    <comment ref="P65" authorId="0" shapeId="0">
      <text>
        <t>Stored Average Rate 837.1545. Average Rate = Total Amount / Total Qty.</t>
      </text>
    </comment>
    <comment ref="P66" authorId="0" shapeId="0">
      <text>
        <t>Stored Average Rate 923.8783. Average Rate = Total Amount / Total Qty.</t>
      </text>
    </comment>
    <comment ref="P67" authorId="0" shapeId="0">
      <text>
        <t>Stored Average Rate 206.6476. Average Rate = Total Amount / Total Qty.</t>
      </text>
    </comment>
    <comment ref="P69" authorId="0" shapeId="0">
      <text>
        <t>Stored Average Rate 15.0. Average Rate = Total Amount / Total Qty.</t>
      </text>
    </comment>
    <comment ref="P70" authorId="0" shapeId="0">
      <text>
        <t>Stored Average Rate 80.0. Average Rate = Total Amount / Total Qty.</t>
      </text>
    </comment>
    <comment ref="P71" authorId="0" shapeId="0">
      <text>
        <t>Stored Average Rate 79.9716. Average Rate = Total Amount / Total Qty.</t>
      </text>
    </comment>
    <comment ref="P72" authorId="0" shapeId="0">
      <text>
        <t>Stored Average Rate 196.9082. Average Rate = Total Amount / Total Qty.</t>
      </text>
    </comment>
    <comment ref="P73" authorId="0" shapeId="0">
      <text>
        <t>Stored Average Rate 78.2469. Average Rate = Total Amount / Total Qty.</t>
      </text>
    </comment>
    <comment ref="P74" authorId="0" shapeId="0">
      <text>
        <t>Stored Average Rate 561.7435. Average Rate = Total Amount / Total Qty.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8"/>
  <sheetViews>
    <sheetView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</cols>
  <sheetData>
    <row r="1" ht="22" customHeight="1">
      <c r="A1" s="1" t="inlineStr">
        <is>
          <t>Company Name</t>
        </is>
      </c>
    </row>
    <row r="2">
      <c r="A2" s="2" t="inlineStr">
        <is>
          <t>Address</t>
        </is>
      </c>
    </row>
    <row r="3">
      <c r="A3" s="2" t="inlineStr">
        <is>
          <t>Financial Year: AY 2025-26</t>
        </is>
      </c>
    </row>
    <row r="4" ht="20" customHeight="1">
      <c r="A4" s="3" t="inlineStr">
        <is>
          <t>DETAILS OF JEWELS CLOSING STOCK - DIAMOND</t>
        </is>
      </c>
    </row>
    <row r="6" ht="28" customHeight="1">
      <c r="A6" s="4" t="inlineStr">
        <is>
          <t>Particulars / Product</t>
        </is>
      </c>
      <c r="B6" s="4" t="inlineStr">
        <is>
          <t>Opening Stock</t>
        </is>
      </c>
      <c r="C6" s="5" t="n"/>
      <c r="D6" s="4" t="inlineStr">
        <is>
          <t>Purchases</t>
        </is>
      </c>
      <c r="E6" s="5" t="n"/>
      <c r="F6" s="4" t="inlineStr">
        <is>
          <t>Receipts</t>
        </is>
      </c>
      <c r="G6" s="5" t="n"/>
      <c r="H6" s="5" t="n"/>
      <c r="I6" s="5" t="n"/>
      <c r="J6" s="5" t="n"/>
      <c r="K6" s="5" t="n"/>
      <c r="L6" s="5" t="n"/>
      <c r="M6" s="5" t="n"/>
      <c r="N6" s="4" t="inlineStr">
        <is>
          <t>Total</t>
        </is>
      </c>
      <c r="O6" s="5" t="n"/>
      <c r="P6" s="4" t="inlineStr">
        <is>
          <t>Average Rate</t>
        </is>
      </c>
      <c r="Q6" s="4" t="inlineStr">
        <is>
          <t>Issues</t>
        </is>
      </c>
      <c r="R6" s="5" t="n"/>
      <c r="S6" s="5" t="n"/>
      <c r="T6" s="5" t="n"/>
      <c r="U6" s="5" t="n"/>
      <c r="V6" s="5" t="n"/>
      <c r="W6" s="5" t="n"/>
      <c r="X6" s="5" t="n"/>
      <c r="Y6" s="4" t="inlineStr">
        <is>
          <t>Sales</t>
        </is>
      </c>
      <c r="Z6" s="5" t="n"/>
      <c r="AA6" s="4" t="inlineStr">
        <is>
          <t>Closing Stock</t>
        </is>
      </c>
      <c r="AB6" s="5" t="n"/>
      <c r="AC6" s="4" t="inlineStr">
        <is>
          <t>Gross Profit</t>
        </is>
      </c>
      <c r="AD6" s="5" t="n"/>
      <c r="AE6" s="4" t="inlineStr">
        <is>
          <t>GP AY 2025-26</t>
        </is>
      </c>
      <c r="AF6" s="5" t="n"/>
      <c r="AG6" s="4" t="inlineStr">
        <is>
          <t>Deviation</t>
        </is>
      </c>
      <c r="AH6" s="5" t="n"/>
      <c r="AI6" s="5" t="n"/>
    </row>
    <row r="7" ht="28" customHeight="1">
      <c r="A7" s="6" t="n"/>
      <c r="B7" s="7" t="inlineStr"/>
      <c r="C7" s="7" t="inlineStr"/>
      <c r="D7" s="7" t="inlineStr"/>
      <c r="E7" s="7" t="inlineStr"/>
      <c r="F7" s="8" t="inlineStr">
        <is>
          <t>Internal Stock Transfer</t>
        </is>
      </c>
      <c r="G7" s="7" t="n"/>
      <c r="H7" s="8" t="inlineStr">
        <is>
          <t>Jubilee Hills</t>
        </is>
      </c>
      <c r="I7" s="7" t="n"/>
      <c r="J7" s="8" t="inlineStr">
        <is>
          <t>Kokapet</t>
        </is>
      </c>
      <c r="K7" s="7" t="n"/>
      <c r="L7" s="8" t="inlineStr">
        <is>
          <t>Receipts</t>
        </is>
      </c>
      <c r="M7" s="7" t="n"/>
      <c r="N7" s="7" t="inlineStr"/>
      <c r="O7" s="7" t="inlineStr"/>
      <c r="P7" s="7" t="inlineStr"/>
      <c r="Q7" s="8" t="inlineStr">
        <is>
          <t>Internal Stock Transfer</t>
        </is>
      </c>
      <c r="R7" s="7" t="n"/>
      <c r="S7" s="8" t="inlineStr">
        <is>
          <t>Jubilee Hills</t>
        </is>
      </c>
      <c r="T7" s="7" t="n"/>
      <c r="U7" s="8" t="inlineStr">
        <is>
          <t>Kokapet</t>
        </is>
      </c>
      <c r="V7" s="7" t="n"/>
      <c r="W7" s="8" t="inlineStr">
        <is>
          <t>Total</t>
        </is>
      </c>
      <c r="X7" s="7" t="n"/>
      <c r="Y7" s="7" t="inlineStr"/>
      <c r="Z7" s="7" t="inlineStr"/>
      <c r="AA7" s="7" t="inlineStr"/>
      <c r="AB7" s="7" t="inlineStr"/>
      <c r="AC7" s="7" t="inlineStr"/>
      <c r="AD7" s="7" t="inlineStr"/>
      <c r="AE7" s="7" t="inlineStr"/>
      <c r="AF7" s="7" t="inlineStr"/>
      <c r="AG7" s="7" t="inlineStr"/>
      <c r="AH7" s="7" t="inlineStr"/>
      <c r="AI7" s="7" t="inlineStr"/>
    </row>
    <row r="8" ht="28" customHeight="1">
      <c r="A8" s="6" t="n"/>
      <c r="B8" s="9" t="inlineStr">
        <is>
          <t>Qty</t>
        </is>
      </c>
      <c r="C8" s="9" t="inlineStr">
        <is>
          <t>Amt.</t>
        </is>
      </c>
      <c r="D8" s="9" t="inlineStr">
        <is>
          <t>Qty</t>
        </is>
      </c>
      <c r="E8" s="9" t="inlineStr">
        <is>
          <t>Amt.</t>
        </is>
      </c>
      <c r="F8" s="9" t="inlineStr">
        <is>
          <t>Qty</t>
        </is>
      </c>
      <c r="G8" s="9" t="inlineStr">
        <is>
          <t>Amt.</t>
        </is>
      </c>
      <c r="H8" s="9" t="inlineStr">
        <is>
          <t>Qty</t>
        </is>
      </c>
      <c r="I8" s="9" t="inlineStr">
        <is>
          <t>Amt.</t>
        </is>
      </c>
      <c r="J8" s="9" t="inlineStr">
        <is>
          <t>Qty</t>
        </is>
      </c>
      <c r="K8" s="9" t="inlineStr">
        <is>
          <t>Amt.</t>
        </is>
      </c>
      <c r="L8" s="9" t="inlineStr">
        <is>
          <t>Qty</t>
        </is>
      </c>
      <c r="M8" s="9" t="inlineStr">
        <is>
          <t>Amt.</t>
        </is>
      </c>
      <c r="N8" s="9" t="inlineStr">
        <is>
          <t>Qty</t>
        </is>
      </c>
      <c r="O8" s="9" t="inlineStr">
        <is>
          <t>Amt.</t>
        </is>
      </c>
      <c r="P8" s="9" t="inlineStr">
        <is>
          <t>Amt.</t>
        </is>
      </c>
      <c r="Q8" s="9" t="inlineStr">
        <is>
          <t>Qty</t>
        </is>
      </c>
      <c r="R8" s="9" t="inlineStr">
        <is>
          <t>Amt.</t>
        </is>
      </c>
      <c r="S8" s="9" t="inlineStr">
        <is>
          <t>Qty</t>
        </is>
      </c>
      <c r="T8" s="9" t="inlineStr">
        <is>
          <t>Amt.</t>
        </is>
      </c>
      <c r="U8" s="9" t="inlineStr">
        <is>
          <t>Qty</t>
        </is>
      </c>
      <c r="V8" s="9" t="inlineStr">
        <is>
          <t>Amt.</t>
        </is>
      </c>
      <c r="W8" s="9" t="inlineStr">
        <is>
          <t>Qty</t>
        </is>
      </c>
      <c r="X8" s="9" t="inlineStr">
        <is>
          <t>Amt.</t>
        </is>
      </c>
      <c r="Y8" s="9" t="inlineStr">
        <is>
          <t>Qty</t>
        </is>
      </c>
      <c r="Z8" s="9" t="inlineStr">
        <is>
          <t>Amt.</t>
        </is>
      </c>
      <c r="AA8" s="9" t="inlineStr">
        <is>
          <t>Qty</t>
        </is>
      </c>
      <c r="AB8" s="9" t="inlineStr">
        <is>
          <t>Amt.</t>
        </is>
      </c>
      <c r="AC8" s="9" t="inlineStr">
        <is>
          <t>Amt.</t>
        </is>
      </c>
      <c r="AD8" s="9" t="inlineStr">
        <is>
          <t>%</t>
        </is>
      </c>
      <c r="AE8" s="9" t="inlineStr">
        <is>
          <t>Qty</t>
        </is>
      </c>
      <c r="AF8" s="9" t="inlineStr">
        <is>
          <t>Amt.</t>
        </is>
      </c>
      <c r="AG8" s="9" t="inlineStr">
        <is>
          <t>Qty</t>
        </is>
      </c>
      <c r="AH8" s="9" t="inlineStr">
        <is>
          <t>Amt.</t>
        </is>
      </c>
      <c r="AI8" s="9" t="inlineStr">
        <is>
          <t>%</t>
        </is>
      </c>
    </row>
    <row r="9" ht="28" customHeight="1">
      <c r="A9" s="6" t="n"/>
      <c r="B9" s="10" t="inlineStr">
        <is>
          <t>1</t>
        </is>
      </c>
      <c r="C9" s="10" t="inlineStr">
        <is>
          <t>2</t>
        </is>
      </c>
      <c r="D9" s="10" t="inlineStr">
        <is>
          <t>3</t>
        </is>
      </c>
      <c r="E9" s="10" t="inlineStr">
        <is>
          <t>4</t>
        </is>
      </c>
      <c r="F9" s="10" t="inlineStr">
        <is>
          <t>5</t>
        </is>
      </c>
      <c r="G9" s="10" t="inlineStr">
        <is>
          <t>6</t>
        </is>
      </c>
      <c r="H9" s="10" t="inlineStr">
        <is>
          <t>7</t>
        </is>
      </c>
      <c r="I9" s="10" t="inlineStr">
        <is>
          <t>8</t>
        </is>
      </c>
      <c r="J9" s="10" t="inlineStr">
        <is>
          <t>9</t>
        </is>
      </c>
      <c r="K9" s="10" t="inlineStr">
        <is>
          <t>10</t>
        </is>
      </c>
      <c r="L9" s="10" t="inlineStr">
        <is>
          <t>11</t>
        </is>
      </c>
      <c r="M9" s="10" t="inlineStr">
        <is>
          <t>12</t>
        </is>
      </c>
      <c r="N9" s="10" t="inlineStr">
        <is>
          <t>13</t>
        </is>
      </c>
      <c r="O9" s="10" t="inlineStr">
        <is>
          <t>14</t>
        </is>
      </c>
      <c r="P9" s="10" t="inlineStr">
        <is>
          <t>15</t>
        </is>
      </c>
      <c r="Q9" s="10" t="inlineStr">
        <is>
          <t>16</t>
        </is>
      </c>
      <c r="R9" s="10" t="inlineStr">
        <is>
          <t>17</t>
        </is>
      </c>
      <c r="S9" s="10" t="inlineStr">
        <is>
          <t>18</t>
        </is>
      </c>
      <c r="T9" s="10" t="inlineStr">
        <is>
          <t>19</t>
        </is>
      </c>
      <c r="U9" s="10" t="inlineStr">
        <is>
          <t>20</t>
        </is>
      </c>
      <c r="V9" s="10" t="inlineStr">
        <is>
          <t>21</t>
        </is>
      </c>
      <c r="W9" s="10" t="inlineStr">
        <is>
          <t>22</t>
        </is>
      </c>
      <c r="X9" s="10" t="inlineStr">
        <is>
          <t>23</t>
        </is>
      </c>
      <c r="Y9" s="10" t="inlineStr">
        <is>
          <t>24</t>
        </is>
      </c>
      <c r="Z9" s="10" t="inlineStr">
        <is>
          <t>25</t>
        </is>
      </c>
      <c r="AA9" s="10" t="inlineStr">
        <is>
          <t>26</t>
        </is>
      </c>
      <c r="AB9" s="10" t="inlineStr">
        <is>
          <t>27</t>
        </is>
      </c>
      <c r="AC9" s="10" t="inlineStr">
        <is>
          <t>28</t>
        </is>
      </c>
      <c r="AD9" s="10" t="inlineStr">
        <is>
          <t>29</t>
        </is>
      </c>
      <c r="AE9" s="10" t="inlineStr">
        <is>
          <t>30</t>
        </is>
      </c>
      <c r="AF9" s="10" t="inlineStr">
        <is>
          <t>31</t>
        </is>
      </c>
      <c r="AG9" s="10" t="inlineStr">
        <is>
          <t>32</t>
        </is>
      </c>
      <c r="AH9" s="10" t="inlineStr">
        <is>
          <t>33</t>
        </is>
      </c>
      <c r="AI9" s="10" t="inlineStr">
        <is>
          <t>34</t>
        </is>
      </c>
    </row>
    <row r="10">
      <c r="A10" s="11" t="inlineStr">
        <is>
          <t>Uncut - Diamonds</t>
        </is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  <c r="AI10" s="12" t="n"/>
    </row>
    <row r="11">
      <c r="A11" s="13" t="inlineStr">
        <is>
          <t>Chakri</t>
        </is>
      </c>
      <c r="B11" s="14" t="n">
        <v>177.26</v>
      </c>
      <c r="C11" s="14" t="n">
        <v>170875</v>
      </c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4" t="n">
        <v>177.26</v>
      </c>
      <c r="O11" s="14" t="n">
        <v>170875</v>
      </c>
      <c r="P11" s="14" t="n">
        <v>964</v>
      </c>
      <c r="Q11" s="15" t="n"/>
      <c r="R11" s="15" t="n"/>
      <c r="S11" s="14" t="n">
        <v>126.06</v>
      </c>
      <c r="T11" s="14" t="n">
        <v>121519</v>
      </c>
      <c r="U11" s="15" t="n"/>
      <c r="V11" s="15" t="n"/>
      <c r="W11" s="14" t="n">
        <v>126.06</v>
      </c>
      <c r="X11" s="14" t="n">
        <v>121519</v>
      </c>
      <c r="Y11" s="14" t="n">
        <v>4.4</v>
      </c>
      <c r="Z11" s="14" t="n">
        <v>13200</v>
      </c>
      <c r="AA11" s="14" t="n">
        <v>46.8</v>
      </c>
      <c r="AB11" s="14" t="n">
        <v>45114</v>
      </c>
      <c r="AC11" s="14" t="n">
        <v>8958</v>
      </c>
      <c r="AD11" s="16" t="n">
        <v>0.6787</v>
      </c>
      <c r="AE11" s="15" t="n"/>
      <c r="AF11" s="15" t="n"/>
      <c r="AG11" s="15" t="n"/>
      <c r="AH11" s="15" t="n"/>
      <c r="AI11" s="15" t="n"/>
    </row>
    <row r="12">
      <c r="A12" s="13" t="inlineStr">
        <is>
          <t>Polki</t>
        </is>
      </c>
      <c r="B12" s="14" t="n">
        <v>257.35</v>
      </c>
      <c r="C12" s="14" t="n">
        <v>486371</v>
      </c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4" t="n">
        <v>257.35</v>
      </c>
      <c r="O12" s="14" t="n">
        <v>486371</v>
      </c>
      <c r="P12" s="14" t="n">
        <v>1890</v>
      </c>
      <c r="Q12" s="15" t="n"/>
      <c r="R12" s="15" t="n"/>
      <c r="S12" s="14" t="n">
        <v>201.15</v>
      </c>
      <c r="T12" s="14" t="n">
        <v>380157</v>
      </c>
      <c r="U12" s="15" t="n"/>
      <c r="V12" s="15" t="n"/>
      <c r="W12" s="14" t="n">
        <v>201.15</v>
      </c>
      <c r="X12" s="14" t="n">
        <v>380157</v>
      </c>
      <c r="Y12" s="15" t="n"/>
      <c r="Z12" s="15" t="n"/>
      <c r="AA12" s="14" t="n">
        <v>56.2</v>
      </c>
      <c r="AB12" s="14" t="n">
        <v>106214</v>
      </c>
      <c r="AC12" s="14" t="n">
        <v>-0</v>
      </c>
      <c r="AD12" s="16" t="n">
        <v>0</v>
      </c>
      <c r="AE12" s="15" t="n"/>
      <c r="AF12" s="15" t="n"/>
      <c r="AG12" s="15" t="n"/>
      <c r="AH12" s="15" t="n"/>
      <c r="AI12" s="15" t="n"/>
    </row>
    <row r="13">
      <c r="A13" s="17" t="inlineStr">
        <is>
          <t>TOTAL</t>
        </is>
      </c>
      <c r="B13" s="18" t="n">
        <v>434.61</v>
      </c>
      <c r="C13" s="18" t="n">
        <v>657246</v>
      </c>
      <c r="D13" s="18">
        <f>SUM(D11:D12)</f>
        <v/>
      </c>
      <c r="E13" s="18">
        <f>SUM(E11:E12)</f>
        <v/>
      </c>
      <c r="F13" s="18">
        <f>SUM(F11:F12)</f>
        <v/>
      </c>
      <c r="G13" s="18">
        <f>SUM(G11:G12)</f>
        <v/>
      </c>
      <c r="H13" s="18">
        <f>SUM(H11:H12)</f>
        <v/>
      </c>
      <c r="I13" s="18">
        <f>SUM(I11:I12)</f>
        <v/>
      </c>
      <c r="J13" s="18">
        <f>SUM(J11:J12)</f>
        <v/>
      </c>
      <c r="K13" s="18">
        <f>SUM(K11:K12)</f>
        <v/>
      </c>
      <c r="L13" s="18">
        <f>SUM(L11:L12)</f>
        <v/>
      </c>
      <c r="M13" s="18">
        <f>SUM(M11:M12)</f>
        <v/>
      </c>
      <c r="N13" s="18" t="n">
        <v>434.61</v>
      </c>
      <c r="O13" s="18" t="n">
        <v>657246</v>
      </c>
      <c r="P13" s="18" t="n">
        <v>1512</v>
      </c>
      <c r="Q13" s="18">
        <f>SUM(Q11:Q12)</f>
        <v/>
      </c>
      <c r="R13" s="18">
        <f>SUM(R11:R12)</f>
        <v/>
      </c>
      <c r="S13" s="18" t="n">
        <v>327.21</v>
      </c>
      <c r="T13" s="18" t="n">
        <v>501677</v>
      </c>
      <c r="U13" s="18">
        <f>SUM(U11:U12)</f>
        <v/>
      </c>
      <c r="V13" s="18">
        <f>SUM(V11:V12)</f>
        <v/>
      </c>
      <c r="W13" s="18" t="n">
        <v>327.21</v>
      </c>
      <c r="X13" s="18" t="n">
        <v>501677</v>
      </c>
      <c r="Y13" s="18" t="n">
        <v>4.4</v>
      </c>
      <c r="Z13" s="18" t="n">
        <v>13200</v>
      </c>
      <c r="AA13" s="18" t="n">
        <v>103</v>
      </c>
      <c r="AB13" s="18" t="n">
        <v>151328</v>
      </c>
      <c r="AC13" s="18" t="n">
        <v>8958</v>
      </c>
      <c r="AD13" s="19" t="n">
        <v>0.6786</v>
      </c>
      <c r="AE13" s="18">
        <f>SUM(AE11:AE12)</f>
        <v/>
      </c>
      <c r="AF13" s="18">
        <f>SUM(AF11:AF12)</f>
        <v/>
      </c>
      <c r="AG13" s="18">
        <f>SUM(AG11:AG12)</f>
        <v/>
      </c>
      <c r="AH13" s="18">
        <f>SUM(AH11:AH12)</f>
        <v/>
      </c>
      <c r="AI13" s="20" t="n"/>
    </row>
    <row r="14">
      <c r="A14" s="11" t="inlineStr">
        <is>
          <t>Diamonds - Flat Polki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</row>
    <row r="15">
      <c r="A15" s="13" t="inlineStr">
        <is>
          <t>Flat polki FP 1</t>
        </is>
      </c>
      <c r="B15" s="14" t="n">
        <v>550.38</v>
      </c>
      <c r="C15" s="14" t="n">
        <v>3213032</v>
      </c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4" t="n">
        <v>550.38</v>
      </c>
      <c r="O15" s="14" t="n">
        <v>3213032</v>
      </c>
      <c r="P15" s="14" t="n">
        <v>5838</v>
      </c>
      <c r="Q15" s="15" t="n"/>
      <c r="R15" s="15" t="n"/>
      <c r="S15" s="14" t="n">
        <v>107.08</v>
      </c>
      <c r="T15" s="14" t="n">
        <v>625116</v>
      </c>
      <c r="U15" s="15" t="n"/>
      <c r="V15" s="15" t="n"/>
      <c r="W15" s="14" t="n">
        <v>107.08</v>
      </c>
      <c r="X15" s="14" t="n">
        <v>625116</v>
      </c>
      <c r="Y15" s="14" t="n">
        <v>134.13</v>
      </c>
      <c r="Z15" s="14" t="n">
        <v>856435</v>
      </c>
      <c r="AA15" s="14" t="n">
        <v>309.17</v>
      </c>
      <c r="AB15" s="14" t="n">
        <v>1804886</v>
      </c>
      <c r="AC15" s="14" t="n">
        <v>73405</v>
      </c>
      <c r="AD15" s="16" t="n">
        <v>0.0857</v>
      </c>
      <c r="AE15" s="15" t="n"/>
      <c r="AF15" s="15" t="n"/>
      <c r="AG15" s="15" t="n"/>
      <c r="AH15" s="15" t="n"/>
      <c r="AI15" s="15" t="n"/>
    </row>
    <row r="16">
      <c r="A16" s="13" t="inlineStr">
        <is>
          <t>Flat polki FP 2</t>
        </is>
      </c>
      <c r="B16" s="14" t="n">
        <v>302.45</v>
      </c>
      <c r="C16" s="14" t="n">
        <v>2610769</v>
      </c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4" t="n">
        <v>302.45</v>
      </c>
      <c r="O16" s="14" t="n">
        <v>2610769</v>
      </c>
      <c r="P16" s="14" t="n">
        <v>8632</v>
      </c>
      <c r="Q16" s="15" t="n"/>
      <c r="R16" s="15" t="n"/>
      <c r="S16" s="14" t="n">
        <v>153.42</v>
      </c>
      <c r="T16" s="14" t="n">
        <v>1324332</v>
      </c>
      <c r="U16" s="15" t="n"/>
      <c r="V16" s="15" t="n"/>
      <c r="W16" s="14" t="n">
        <v>153.42</v>
      </c>
      <c r="X16" s="14" t="n">
        <v>1324332</v>
      </c>
      <c r="Y16" s="14" t="n">
        <v>10.97</v>
      </c>
      <c r="Z16" s="14" t="n">
        <v>103616</v>
      </c>
      <c r="AA16" s="14" t="n">
        <v>138.06</v>
      </c>
      <c r="AB16" s="14" t="n">
        <v>1191743</v>
      </c>
      <c r="AC16" s="14" t="n">
        <v>8922</v>
      </c>
      <c r="AD16" s="16" t="n">
        <v>0.0861</v>
      </c>
      <c r="AE16" s="15" t="n"/>
      <c r="AF16" s="15" t="n"/>
      <c r="AG16" s="15" t="n"/>
      <c r="AH16" s="15" t="n"/>
      <c r="AI16" s="15" t="n"/>
    </row>
    <row r="17">
      <c r="A17" s="13" t="inlineStr">
        <is>
          <t>Flat polki FP 3</t>
        </is>
      </c>
      <c r="B17" s="14" t="n">
        <v>130.175</v>
      </c>
      <c r="C17" s="14" t="n">
        <v>1545828</v>
      </c>
      <c r="D17" s="15" t="n"/>
      <c r="E17" s="15" t="n"/>
      <c r="F17" s="15" t="n"/>
      <c r="G17" s="15" t="n"/>
      <c r="H17" s="14" t="n">
        <v>15.26</v>
      </c>
      <c r="I17" s="14" t="n">
        <v>158570</v>
      </c>
      <c r="J17" s="15" t="n"/>
      <c r="K17" s="15" t="n"/>
      <c r="L17" s="14" t="n">
        <v>15.26</v>
      </c>
      <c r="M17" s="14" t="n">
        <v>158570</v>
      </c>
      <c r="N17" s="14" t="n">
        <v>145.435</v>
      </c>
      <c r="O17" s="14" t="n">
        <v>1704398</v>
      </c>
      <c r="P17" s="14" t="n">
        <v>11719</v>
      </c>
      <c r="Q17" s="15" t="n"/>
      <c r="R17" s="15" t="n"/>
      <c r="S17" s="15" t="n"/>
      <c r="T17" s="15" t="n"/>
      <c r="U17" s="15" t="n"/>
      <c r="V17" s="15" t="n"/>
      <c r="W17" s="15" t="n"/>
      <c r="X17" s="15" t="n"/>
      <c r="Y17" s="14" t="n">
        <v>15.6</v>
      </c>
      <c r="Z17" s="14" t="n">
        <v>218640</v>
      </c>
      <c r="AA17" s="14" t="n">
        <v>129.835</v>
      </c>
      <c r="AB17" s="14" t="n">
        <v>1521577</v>
      </c>
      <c r="AC17" s="14" t="n">
        <v>35819</v>
      </c>
      <c r="AD17" s="16" t="n">
        <v>0.1638</v>
      </c>
      <c r="AE17" s="15" t="n"/>
      <c r="AF17" s="15" t="n"/>
      <c r="AG17" s="15" t="n"/>
      <c r="AH17" s="15" t="n"/>
      <c r="AI17" s="15" t="n"/>
    </row>
    <row r="18">
      <c r="A18" s="13" t="inlineStr">
        <is>
          <t>Flat polki FP 4</t>
        </is>
      </c>
      <c r="B18" s="14" t="n">
        <v>72.36499999999999</v>
      </c>
      <c r="C18" s="14" t="n">
        <v>1249700</v>
      </c>
      <c r="D18" s="15" t="n"/>
      <c r="E18" s="15" t="n"/>
      <c r="F18" s="15" t="n"/>
      <c r="G18" s="15" t="n"/>
      <c r="H18" s="14" t="n">
        <v>45.37</v>
      </c>
      <c r="I18" s="14" t="n">
        <v>517323</v>
      </c>
      <c r="J18" s="15" t="n"/>
      <c r="K18" s="15" t="n"/>
      <c r="L18" s="14" t="n">
        <v>45.37</v>
      </c>
      <c r="M18" s="14" t="n">
        <v>517323</v>
      </c>
      <c r="N18" s="14" t="n">
        <v>117.735</v>
      </c>
      <c r="O18" s="14" t="n">
        <v>1767023</v>
      </c>
      <c r="P18" s="14" t="n">
        <v>15008</v>
      </c>
      <c r="Q18" s="15" t="n"/>
      <c r="R18" s="15" t="n"/>
      <c r="S18" s="15" t="n"/>
      <c r="T18" s="15" t="n"/>
      <c r="U18" s="15" t="n"/>
      <c r="V18" s="15" t="n"/>
      <c r="W18" s="15" t="n"/>
      <c r="X18" s="15" t="n"/>
      <c r="Y18" s="14" t="n">
        <v>40.63</v>
      </c>
      <c r="Z18" s="14" t="n">
        <v>724382</v>
      </c>
      <c r="AA18" s="14" t="n">
        <v>77.105</v>
      </c>
      <c r="AB18" s="14" t="n">
        <v>1157229</v>
      </c>
      <c r="AC18" s="14" t="n">
        <v>114588</v>
      </c>
      <c r="AD18" s="16" t="n">
        <v>0.1582</v>
      </c>
      <c r="AE18" s="15" t="n"/>
      <c r="AF18" s="15" t="n"/>
      <c r="AG18" s="15" t="n"/>
      <c r="AH18" s="15" t="n"/>
      <c r="AI18" s="15" t="n"/>
    </row>
    <row r="19">
      <c r="A19" s="13" t="inlineStr">
        <is>
          <t>Flat polki FP 5</t>
        </is>
      </c>
      <c r="B19" s="14" t="n">
        <v>23.855</v>
      </c>
      <c r="C19" s="14" t="n">
        <v>357825</v>
      </c>
      <c r="D19" s="15" t="n"/>
      <c r="E19" s="15" t="n"/>
      <c r="F19" s="15" t="n"/>
      <c r="G19" s="15" t="n"/>
      <c r="H19" s="14" t="n">
        <v>22.23</v>
      </c>
      <c r="I19" s="14" t="n">
        <v>308255</v>
      </c>
      <c r="J19" s="15" t="n"/>
      <c r="K19" s="15" t="n"/>
      <c r="L19" s="14" t="n">
        <v>22.23</v>
      </c>
      <c r="M19" s="14" t="n">
        <v>308255</v>
      </c>
      <c r="N19" s="14" t="n">
        <v>46.085</v>
      </c>
      <c r="O19" s="14" t="n">
        <v>666080</v>
      </c>
      <c r="P19" s="14" t="n">
        <v>14453</v>
      </c>
      <c r="Q19" s="15" t="n"/>
      <c r="R19" s="15" t="n"/>
      <c r="S19" s="15" t="n"/>
      <c r="T19" s="15" t="n"/>
      <c r="U19" s="15" t="n"/>
      <c r="V19" s="15" t="n"/>
      <c r="W19" s="15" t="n"/>
      <c r="X19" s="15" t="n"/>
      <c r="Y19" s="14" t="n">
        <v>37.28</v>
      </c>
      <c r="Z19" s="14" t="n">
        <v>696110</v>
      </c>
      <c r="AA19" s="14" t="n">
        <v>8.805</v>
      </c>
      <c r="AB19" s="14" t="n">
        <v>127261</v>
      </c>
      <c r="AC19" s="14" t="n">
        <v>157291</v>
      </c>
      <c r="AD19" s="16" t="n">
        <v>0.226</v>
      </c>
      <c r="AE19" s="15" t="n"/>
      <c r="AF19" s="15" t="n"/>
      <c r="AG19" s="15" t="n"/>
      <c r="AH19" s="15" t="n"/>
      <c r="AI19" s="15" t="n"/>
    </row>
    <row r="20">
      <c r="A20" s="13" t="inlineStr">
        <is>
          <t>Flat polki FP 6</t>
        </is>
      </c>
      <c r="B20" s="14" t="n">
        <v>40.03</v>
      </c>
      <c r="C20" s="14" t="n">
        <v>652451</v>
      </c>
      <c r="D20" s="15" t="n"/>
      <c r="E20" s="15" t="n"/>
      <c r="F20" s="15" t="n"/>
      <c r="G20" s="15" t="n"/>
      <c r="H20" s="14" t="n">
        <v>37.4</v>
      </c>
      <c r="I20" s="14" t="n">
        <v>644171</v>
      </c>
      <c r="J20" s="15" t="n"/>
      <c r="K20" s="15" t="n"/>
      <c r="L20" s="14" t="n">
        <v>37.4</v>
      </c>
      <c r="M20" s="14" t="n">
        <v>644171</v>
      </c>
      <c r="N20" s="14" t="n">
        <v>77.43000000000001</v>
      </c>
      <c r="O20" s="14" t="n">
        <v>1296622</v>
      </c>
      <c r="P20" s="14" t="n">
        <v>16746</v>
      </c>
      <c r="Q20" s="15" t="n"/>
      <c r="R20" s="15" t="n"/>
      <c r="S20" s="15" t="n"/>
      <c r="T20" s="15" t="n"/>
      <c r="U20" s="15" t="n"/>
      <c r="V20" s="15" t="n"/>
      <c r="W20" s="15" t="n"/>
      <c r="X20" s="15" t="n"/>
      <c r="Y20" s="14" t="n">
        <v>49.87</v>
      </c>
      <c r="Z20" s="14" t="n">
        <v>1107713</v>
      </c>
      <c r="AA20" s="14" t="n">
        <v>27.56</v>
      </c>
      <c r="AB20" s="14" t="n">
        <v>461512</v>
      </c>
      <c r="AC20" s="14" t="n">
        <v>272603</v>
      </c>
      <c r="AD20" s="16" t="n">
        <v>0.2461</v>
      </c>
      <c r="AE20" s="15" t="n"/>
      <c r="AF20" s="15" t="n"/>
      <c r="AG20" s="15" t="n"/>
      <c r="AH20" s="15" t="n"/>
      <c r="AI20" s="15" t="n"/>
    </row>
    <row r="21">
      <c r="A21" s="13" t="inlineStr">
        <is>
          <t>Flat polki FP 7</t>
        </is>
      </c>
      <c r="B21" s="14" t="n">
        <v>40.92</v>
      </c>
      <c r="C21" s="14" t="n">
        <v>804682</v>
      </c>
      <c r="D21" s="15" t="n"/>
      <c r="E21" s="15" t="n"/>
      <c r="F21" s="15" t="n"/>
      <c r="G21" s="15" t="n"/>
      <c r="H21" s="14" t="n">
        <v>26.22</v>
      </c>
      <c r="I21" s="14" t="n">
        <v>513554</v>
      </c>
      <c r="J21" s="15" t="n"/>
      <c r="K21" s="15" t="n"/>
      <c r="L21" s="14" t="n">
        <v>26.22</v>
      </c>
      <c r="M21" s="14" t="n">
        <v>513554</v>
      </c>
      <c r="N21" s="14" t="n">
        <v>67.14</v>
      </c>
      <c r="O21" s="14" t="n">
        <v>1318236</v>
      </c>
      <c r="P21" s="14" t="n">
        <v>19634</v>
      </c>
      <c r="Q21" s="15" t="n"/>
      <c r="R21" s="15" t="n"/>
      <c r="S21" s="15" t="n"/>
      <c r="T21" s="15" t="n"/>
      <c r="U21" s="15" t="n"/>
      <c r="V21" s="15" t="n"/>
      <c r="W21" s="15" t="n"/>
      <c r="X21" s="15" t="n"/>
      <c r="Y21" s="14" t="n">
        <v>34.87</v>
      </c>
      <c r="Z21" s="14" t="n">
        <v>912544</v>
      </c>
      <c r="AA21" s="14" t="n">
        <v>32.27</v>
      </c>
      <c r="AB21" s="14" t="n">
        <v>633594</v>
      </c>
      <c r="AC21" s="14" t="n">
        <v>227901</v>
      </c>
      <c r="AD21" s="16" t="n">
        <v>0.2497</v>
      </c>
      <c r="AE21" s="15" t="n"/>
      <c r="AF21" s="15" t="n"/>
      <c r="AG21" s="15" t="n"/>
      <c r="AH21" s="15" t="n"/>
      <c r="AI21" s="15" t="n"/>
    </row>
    <row r="22">
      <c r="A22" s="13" t="inlineStr">
        <is>
          <t>Flat polki FP 8</t>
        </is>
      </c>
      <c r="B22" s="14" t="n">
        <v>11.53</v>
      </c>
      <c r="C22" s="14" t="n">
        <v>245436</v>
      </c>
      <c r="D22" s="15" t="n"/>
      <c r="E22" s="15" t="n"/>
      <c r="F22" s="15" t="n"/>
      <c r="G22" s="15" t="n"/>
      <c r="H22" s="14" t="n">
        <v>47.4</v>
      </c>
      <c r="I22" s="14" t="n">
        <v>1030505</v>
      </c>
      <c r="J22" s="15" t="n"/>
      <c r="K22" s="15" t="n"/>
      <c r="L22" s="14" t="n">
        <v>47.4</v>
      </c>
      <c r="M22" s="14" t="n">
        <v>1030505</v>
      </c>
      <c r="N22" s="14" t="n">
        <v>58.93</v>
      </c>
      <c r="O22" s="14" t="n">
        <v>1275941</v>
      </c>
      <c r="P22" s="14" t="n">
        <v>21652</v>
      </c>
      <c r="Q22" s="15" t="n"/>
      <c r="R22" s="15" t="n"/>
      <c r="S22" s="15" t="n"/>
      <c r="T22" s="15" t="n"/>
      <c r="U22" s="15" t="n"/>
      <c r="V22" s="15" t="n"/>
      <c r="W22" s="15" t="n"/>
      <c r="X22" s="15" t="n"/>
      <c r="Y22" s="14" t="n">
        <v>43.55</v>
      </c>
      <c r="Z22" s="14" t="n">
        <v>1198633</v>
      </c>
      <c r="AA22" s="14" t="n">
        <v>15.38</v>
      </c>
      <c r="AB22" s="14" t="n">
        <v>333005</v>
      </c>
      <c r="AC22" s="14" t="n">
        <v>255697</v>
      </c>
      <c r="AD22" s="16" t="n">
        <v>0.2133</v>
      </c>
      <c r="AE22" s="15" t="n"/>
      <c r="AF22" s="15" t="n"/>
      <c r="AG22" s="15" t="n"/>
      <c r="AH22" s="15" t="n"/>
      <c r="AI22" s="15" t="n"/>
    </row>
    <row r="23">
      <c r="A23" s="13" t="inlineStr">
        <is>
          <t>Flat polki FP 9</t>
        </is>
      </c>
      <c r="B23" s="14" t="n">
        <v>1.63</v>
      </c>
      <c r="C23" s="14" t="n">
        <v>38680</v>
      </c>
      <c r="D23" s="15" t="n"/>
      <c r="E23" s="15" t="n"/>
      <c r="F23" s="15" t="n"/>
      <c r="G23" s="15" t="n"/>
      <c r="H23" s="14" t="n">
        <v>8.029999999999999</v>
      </c>
      <c r="I23" s="14" t="n">
        <v>207186</v>
      </c>
      <c r="J23" s="15" t="n"/>
      <c r="K23" s="15" t="n"/>
      <c r="L23" s="14" t="n">
        <v>8.029999999999999</v>
      </c>
      <c r="M23" s="14" t="n">
        <v>207186</v>
      </c>
      <c r="N23" s="14" t="n">
        <v>9.66</v>
      </c>
      <c r="O23" s="14" t="n">
        <v>245866</v>
      </c>
      <c r="P23" s="14" t="n">
        <v>25452</v>
      </c>
      <c r="Q23" s="15" t="n"/>
      <c r="R23" s="15" t="n"/>
      <c r="S23" s="15" t="n"/>
      <c r="T23" s="15" t="n"/>
      <c r="U23" s="15" t="n"/>
      <c r="V23" s="15" t="n"/>
      <c r="W23" s="15" t="n"/>
      <c r="X23" s="15" t="n"/>
      <c r="Y23" s="14" t="n">
        <v>5.43</v>
      </c>
      <c r="Z23" s="14" t="n">
        <v>177878</v>
      </c>
      <c r="AA23" s="14" t="n">
        <v>4.23</v>
      </c>
      <c r="AB23" s="14" t="n">
        <v>107662</v>
      </c>
      <c r="AC23" s="14" t="n">
        <v>39674</v>
      </c>
      <c r="AD23" s="16" t="n">
        <v>0.223</v>
      </c>
      <c r="AE23" s="15" t="n"/>
      <c r="AF23" s="15" t="n"/>
      <c r="AG23" s="15" t="n"/>
      <c r="AH23" s="15" t="n"/>
      <c r="AI23" s="15" t="n"/>
    </row>
    <row r="24">
      <c r="A24" s="13" t="inlineStr">
        <is>
          <t>Flat polki FP 10</t>
        </is>
      </c>
      <c r="B24" s="14" t="n">
        <v>5.93</v>
      </c>
      <c r="C24" s="14" t="n">
        <v>181708</v>
      </c>
      <c r="D24" s="15" t="n"/>
      <c r="E24" s="15" t="n"/>
      <c r="F24" s="15" t="n"/>
      <c r="G24" s="15" t="n"/>
      <c r="H24" s="14" t="n">
        <v>7.7</v>
      </c>
      <c r="I24" s="14" t="n">
        <v>234446</v>
      </c>
      <c r="J24" s="15" t="n"/>
      <c r="K24" s="15" t="n"/>
      <c r="L24" s="14" t="n">
        <v>7.7</v>
      </c>
      <c r="M24" s="14" t="n">
        <v>234446</v>
      </c>
      <c r="N24" s="14" t="n">
        <v>13.63</v>
      </c>
      <c r="O24" s="14" t="n">
        <v>416154</v>
      </c>
      <c r="P24" s="14" t="n">
        <v>30532</v>
      </c>
      <c r="Q24" s="15" t="n"/>
      <c r="R24" s="15" t="n"/>
      <c r="S24" s="15" t="n"/>
      <c r="T24" s="15" t="n"/>
      <c r="U24" s="15" t="n"/>
      <c r="V24" s="15" t="n"/>
      <c r="W24" s="15" t="n"/>
      <c r="X24" s="15" t="n"/>
      <c r="Y24" s="14" t="n">
        <v>6.72</v>
      </c>
      <c r="Z24" s="14" t="n">
        <v>250600</v>
      </c>
      <c r="AA24" s="14" t="n">
        <v>6.91</v>
      </c>
      <c r="AB24" s="14" t="n">
        <v>210977</v>
      </c>
      <c r="AC24" s="14" t="n">
        <v>45424</v>
      </c>
      <c r="AD24" s="16" t="n">
        <v>0.1813</v>
      </c>
      <c r="AE24" s="15" t="n"/>
      <c r="AF24" s="15" t="n"/>
      <c r="AG24" s="15" t="n"/>
      <c r="AH24" s="15" t="n"/>
      <c r="AI24" s="15" t="n"/>
    </row>
    <row r="25">
      <c r="A25" s="13" t="inlineStr">
        <is>
          <t>Flat polki FP 11</t>
        </is>
      </c>
      <c r="B25" s="14" t="n">
        <v>3.52</v>
      </c>
      <c r="C25" s="14" t="n">
        <v>111745</v>
      </c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4" t="n">
        <v>3.52</v>
      </c>
      <c r="O25" s="14" t="n">
        <v>111745</v>
      </c>
      <c r="P25" s="14" t="n">
        <v>31746</v>
      </c>
      <c r="Q25" s="15" t="n"/>
      <c r="R25" s="15" t="n"/>
      <c r="S25" s="15" t="n"/>
      <c r="T25" s="15" t="n"/>
      <c r="U25" s="15" t="n"/>
      <c r="V25" s="15" t="n"/>
      <c r="W25" s="15" t="n"/>
      <c r="X25" s="15" t="n"/>
      <c r="Y25" s="14" t="n">
        <v>1.67</v>
      </c>
      <c r="Z25" s="14" t="n">
        <v>66800</v>
      </c>
      <c r="AA25" s="14" t="n">
        <v>1.85</v>
      </c>
      <c r="AB25" s="14" t="n">
        <v>58730</v>
      </c>
      <c r="AC25" s="14" t="n">
        <v>13785</v>
      </c>
      <c r="AD25" s="16" t="n">
        <v>0.2064</v>
      </c>
      <c r="AE25" s="15" t="n"/>
      <c r="AF25" s="15" t="n"/>
      <c r="AG25" s="15" t="n"/>
      <c r="AH25" s="15" t="n"/>
      <c r="AI25" s="15" t="n"/>
    </row>
    <row r="26">
      <c r="A26" s="13" t="inlineStr">
        <is>
          <t>Flat polki FP 12</t>
        </is>
      </c>
      <c r="B26" s="14" t="n">
        <v>5.46</v>
      </c>
      <c r="C26" s="14" t="n">
        <v>176901</v>
      </c>
      <c r="D26" s="15" t="n"/>
      <c r="E26" s="15" t="n"/>
      <c r="F26" s="15" t="n"/>
      <c r="G26" s="15" t="n"/>
      <c r="H26" s="14" t="n">
        <v>3.05</v>
      </c>
      <c r="I26" s="14" t="n">
        <v>100493</v>
      </c>
      <c r="J26" s="15" t="n"/>
      <c r="K26" s="15" t="n"/>
      <c r="L26" s="14" t="n">
        <v>3.05</v>
      </c>
      <c r="M26" s="14" t="n">
        <v>100493</v>
      </c>
      <c r="N26" s="14" t="n">
        <v>8.51</v>
      </c>
      <c r="O26" s="14" t="n">
        <v>277394</v>
      </c>
      <c r="P26" s="14" t="n">
        <v>32596</v>
      </c>
      <c r="Q26" s="15" t="n"/>
      <c r="R26" s="15" t="n"/>
      <c r="S26" s="15" t="n"/>
      <c r="T26" s="15" t="n"/>
      <c r="U26" s="15" t="n"/>
      <c r="V26" s="15" t="n"/>
      <c r="W26" s="15" t="n"/>
      <c r="X26" s="15" t="n"/>
      <c r="Y26" s="14" t="n">
        <v>0.84</v>
      </c>
      <c r="Z26" s="14" t="n">
        <v>32760</v>
      </c>
      <c r="AA26" s="14" t="n">
        <v>7.67</v>
      </c>
      <c r="AB26" s="14" t="n">
        <v>250013</v>
      </c>
      <c r="AC26" s="14" t="n">
        <v>5379</v>
      </c>
      <c r="AD26" s="16" t="n">
        <v>0.1642</v>
      </c>
      <c r="AE26" s="15" t="n"/>
      <c r="AF26" s="15" t="n"/>
      <c r="AG26" s="15" t="n"/>
      <c r="AH26" s="15" t="n"/>
      <c r="AI26" s="15" t="n"/>
    </row>
    <row r="27">
      <c r="A27" s="13" t="inlineStr">
        <is>
          <t>Flat polki FP 13</t>
        </is>
      </c>
      <c r="B27" s="14" t="n">
        <v>1.89</v>
      </c>
      <c r="C27" s="14" t="n">
        <v>64156</v>
      </c>
      <c r="D27" s="15" t="n"/>
      <c r="E27" s="15" t="n"/>
      <c r="F27" s="15" t="n"/>
      <c r="G27" s="15" t="n"/>
      <c r="H27" s="14" t="n">
        <v>1.5</v>
      </c>
      <c r="I27" s="14" t="n">
        <v>52024</v>
      </c>
      <c r="J27" s="15" t="n"/>
      <c r="K27" s="15" t="n"/>
      <c r="L27" s="14" t="n">
        <v>1.5</v>
      </c>
      <c r="M27" s="14" t="n">
        <v>52024</v>
      </c>
      <c r="N27" s="14" t="n">
        <v>3.39</v>
      </c>
      <c r="O27" s="14" t="n">
        <v>116180</v>
      </c>
      <c r="P27" s="14" t="n">
        <v>34271</v>
      </c>
      <c r="Q27" s="15" t="n"/>
      <c r="R27" s="15" t="n"/>
      <c r="S27" s="15" t="n"/>
      <c r="T27" s="15" t="n"/>
      <c r="U27" s="15" t="n"/>
      <c r="V27" s="15" t="n"/>
      <c r="W27" s="15" t="n"/>
      <c r="X27" s="15" t="n"/>
      <c r="Y27" s="14" t="n">
        <v>0.71</v>
      </c>
      <c r="Z27" s="14" t="n">
        <v>26767</v>
      </c>
      <c r="AA27" s="14" t="n">
        <v>2.68</v>
      </c>
      <c r="AB27" s="14" t="n">
        <v>91847</v>
      </c>
      <c r="AC27" s="14" t="n">
        <v>2434</v>
      </c>
      <c r="AD27" s="16" t="n">
        <v>0.09089999999999999</v>
      </c>
      <c r="AE27" s="15" t="n"/>
      <c r="AF27" s="15" t="n"/>
      <c r="AG27" s="15" t="n"/>
      <c r="AH27" s="15" t="n"/>
      <c r="AI27" s="15" t="n"/>
    </row>
    <row r="28">
      <c r="A28" s="13" t="inlineStr">
        <is>
          <t>Flat polki FP 14</t>
        </is>
      </c>
      <c r="B28" s="14" t="n">
        <v>4.28</v>
      </c>
      <c r="C28" s="14" t="n">
        <v>190405</v>
      </c>
      <c r="D28" s="15" t="n"/>
      <c r="E28" s="15" t="n"/>
      <c r="F28" s="15" t="n"/>
      <c r="G28" s="15" t="n"/>
      <c r="H28" s="14" t="n">
        <v>2.1</v>
      </c>
      <c r="I28" s="14" t="n">
        <v>93423</v>
      </c>
      <c r="J28" s="15" t="n"/>
      <c r="K28" s="15" t="n"/>
      <c r="L28" s="14" t="n">
        <v>2.1</v>
      </c>
      <c r="M28" s="14" t="n">
        <v>93423</v>
      </c>
      <c r="N28" s="14" t="n">
        <v>6.38</v>
      </c>
      <c r="O28" s="14" t="n">
        <v>283828</v>
      </c>
      <c r="P28" s="14" t="n">
        <v>44487</v>
      </c>
      <c r="Q28" s="15" t="n"/>
      <c r="R28" s="15" t="n"/>
      <c r="S28" s="15" t="n"/>
      <c r="T28" s="15" t="n"/>
      <c r="U28" s="15" t="n"/>
      <c r="V28" s="15" t="n"/>
      <c r="W28" s="15" t="n"/>
      <c r="X28" s="15" t="n"/>
      <c r="Y28" s="14" t="n">
        <v>4.2</v>
      </c>
      <c r="Z28" s="14" t="n">
        <v>186102</v>
      </c>
      <c r="AA28" s="14" t="n">
        <v>2.18</v>
      </c>
      <c r="AB28" s="14" t="n">
        <v>96982</v>
      </c>
      <c r="AC28" s="14" t="n">
        <v>-744</v>
      </c>
      <c r="AD28" s="16" t="n">
        <v>0</v>
      </c>
      <c r="AE28" s="15" t="n"/>
      <c r="AF28" s="15" t="n"/>
      <c r="AG28" s="15" t="n"/>
      <c r="AH28" s="15" t="n"/>
      <c r="AI28" s="15" t="n"/>
    </row>
    <row r="29">
      <c r="A29" s="17" t="inlineStr">
        <is>
          <t>TOTAL</t>
        </is>
      </c>
      <c r="B29" s="18" t="n">
        <v>1194.415</v>
      </c>
      <c r="C29" s="18" t="n">
        <v>11443318</v>
      </c>
      <c r="D29" s="18">
        <f>SUM(D15:D28)</f>
        <v/>
      </c>
      <c r="E29" s="18">
        <f>SUM(E15:E28)</f>
        <v/>
      </c>
      <c r="F29" s="18">
        <f>SUM(F15:F28)</f>
        <v/>
      </c>
      <c r="G29" s="18">
        <f>SUM(G15:G28)</f>
        <v/>
      </c>
      <c r="H29" s="18" t="n">
        <v>216.26</v>
      </c>
      <c r="I29" s="18" t="n">
        <v>3859949</v>
      </c>
      <c r="J29" s="18">
        <f>SUM(J15:J28)</f>
        <v/>
      </c>
      <c r="K29" s="18">
        <f>SUM(K15:K28)</f>
        <v/>
      </c>
      <c r="L29" s="18" t="n">
        <v>216.26</v>
      </c>
      <c r="M29" s="18" t="n">
        <v>3859949</v>
      </c>
      <c r="N29" s="18" t="n">
        <v>1410.675</v>
      </c>
      <c r="O29" s="18" t="n">
        <v>15303267</v>
      </c>
      <c r="P29" s="18" t="n">
        <v>10848</v>
      </c>
      <c r="Q29" s="18">
        <f>SUM(Q15:Q28)</f>
        <v/>
      </c>
      <c r="R29" s="18">
        <f>SUM(R15:R28)</f>
        <v/>
      </c>
      <c r="S29" s="18" t="n">
        <v>260.5</v>
      </c>
      <c r="T29" s="18" t="n">
        <v>1949448</v>
      </c>
      <c r="U29" s="18">
        <f>SUM(U15:U28)</f>
        <v/>
      </c>
      <c r="V29" s="18">
        <f>SUM(V15:V28)</f>
        <v/>
      </c>
      <c r="W29" s="18" t="n">
        <v>260.5</v>
      </c>
      <c r="X29" s="18" t="n">
        <v>1949448</v>
      </c>
      <c r="Y29" s="18" t="n">
        <v>386.47</v>
      </c>
      <c r="Z29" s="18" t="n">
        <v>6558980</v>
      </c>
      <c r="AA29" s="18" t="n">
        <v>763.7049999999998</v>
      </c>
      <c r="AB29" s="18" t="n">
        <v>8047018</v>
      </c>
      <c r="AC29" s="18" t="n">
        <v>1252179</v>
      </c>
      <c r="AD29" s="19" t="n">
        <v>0.1909</v>
      </c>
      <c r="AE29" s="18">
        <f>SUM(AE15:AE28)</f>
        <v/>
      </c>
      <c r="AF29" s="18">
        <f>SUM(AF15:AF28)</f>
        <v/>
      </c>
      <c r="AG29" s="18">
        <f>SUM(AG15:AG28)</f>
        <v/>
      </c>
      <c r="AH29" s="18">
        <f>SUM(AH15:AH28)</f>
        <v/>
      </c>
      <c r="AI29" s="20" t="n"/>
    </row>
    <row r="30">
      <c r="A30" s="11" t="inlineStr">
        <is>
          <t>Diamonds - Beads</t>
        </is>
      </c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</row>
    <row r="31">
      <c r="A31" s="13" t="inlineStr">
        <is>
          <t>Di. beads</t>
        </is>
      </c>
      <c r="B31" s="14" t="n">
        <v>263.03</v>
      </c>
      <c r="C31" s="14" t="n">
        <v>347108</v>
      </c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4" t="n">
        <v>263.03</v>
      </c>
      <c r="O31" s="14" t="n">
        <v>347108</v>
      </c>
      <c r="P31" s="14" t="n">
        <v>1320</v>
      </c>
      <c r="Q31" s="15" t="n"/>
      <c r="R31" s="15" t="n"/>
      <c r="S31" s="15" t="n"/>
      <c r="T31" s="15" t="n"/>
      <c r="U31" s="15" t="n"/>
      <c r="V31" s="15" t="n"/>
      <c r="W31" s="15" t="n"/>
      <c r="X31" s="15" t="n"/>
      <c r="Y31" s="14" t="n">
        <v>85.17</v>
      </c>
      <c r="Z31" s="14" t="n">
        <v>387380</v>
      </c>
      <c r="AA31" s="14" t="n">
        <v>177.86</v>
      </c>
      <c r="AB31" s="14" t="n">
        <v>234713</v>
      </c>
      <c r="AC31" s="14" t="n">
        <v>274985</v>
      </c>
      <c r="AD31" s="16" t="n">
        <v>0.7099</v>
      </c>
      <c r="AE31" s="15" t="n"/>
      <c r="AF31" s="15" t="n"/>
      <c r="AG31" s="15" t="n"/>
      <c r="AH31" s="15" t="n"/>
      <c r="AI31" s="15" t="n"/>
    </row>
    <row r="32">
      <c r="A32" s="17" t="inlineStr">
        <is>
          <t>TOTAL</t>
        </is>
      </c>
      <c r="B32" s="18" t="n">
        <v>263.03</v>
      </c>
      <c r="C32" s="18" t="n">
        <v>347108</v>
      </c>
      <c r="D32" s="18">
        <f>SUM(D31:D31)</f>
        <v/>
      </c>
      <c r="E32" s="18">
        <f>SUM(E31:E31)</f>
        <v/>
      </c>
      <c r="F32" s="18">
        <f>SUM(F31:F31)</f>
        <v/>
      </c>
      <c r="G32" s="18">
        <f>SUM(G31:G31)</f>
        <v/>
      </c>
      <c r="H32" s="18">
        <f>SUM(H31:H31)</f>
        <v/>
      </c>
      <c r="I32" s="18">
        <f>SUM(I31:I31)</f>
        <v/>
      </c>
      <c r="J32" s="18">
        <f>SUM(J31:J31)</f>
        <v/>
      </c>
      <c r="K32" s="18">
        <f>SUM(K31:K31)</f>
        <v/>
      </c>
      <c r="L32" s="18">
        <f>SUM(L31:L31)</f>
        <v/>
      </c>
      <c r="M32" s="18">
        <f>SUM(M31:M31)</f>
        <v/>
      </c>
      <c r="N32" s="18" t="n">
        <v>263.03</v>
      </c>
      <c r="O32" s="18" t="n">
        <v>347108</v>
      </c>
      <c r="P32" s="18" t="n">
        <v>1320</v>
      </c>
      <c r="Q32" s="18">
        <f>SUM(Q31:Q31)</f>
        <v/>
      </c>
      <c r="R32" s="18">
        <f>SUM(R31:R31)</f>
        <v/>
      </c>
      <c r="S32" s="18">
        <f>SUM(S31:S31)</f>
        <v/>
      </c>
      <c r="T32" s="18">
        <f>SUM(T31:T31)</f>
        <v/>
      </c>
      <c r="U32" s="18">
        <f>SUM(U31:U31)</f>
        <v/>
      </c>
      <c r="V32" s="18">
        <f>SUM(V31:V31)</f>
        <v/>
      </c>
      <c r="W32" s="18">
        <f>SUM(W31:W31)</f>
        <v/>
      </c>
      <c r="X32" s="18">
        <f>SUM(X31:X31)</f>
        <v/>
      </c>
      <c r="Y32" s="18" t="n">
        <v>85.17</v>
      </c>
      <c r="Z32" s="18" t="n">
        <v>387380</v>
      </c>
      <c r="AA32" s="18" t="n">
        <v>177.86</v>
      </c>
      <c r="AB32" s="18" t="n">
        <v>234713</v>
      </c>
      <c r="AC32" s="18" t="n">
        <v>274985</v>
      </c>
      <c r="AD32" s="19" t="n">
        <v>0.7099</v>
      </c>
      <c r="AE32" s="18">
        <f>SUM(AE31:AE31)</f>
        <v/>
      </c>
      <c r="AF32" s="18">
        <f>SUM(AF31:AF31)</f>
        <v/>
      </c>
      <c r="AG32" s="18">
        <f>SUM(AG31:AG31)</f>
        <v/>
      </c>
      <c r="AH32" s="18">
        <f>SUM(AH31:AH31)</f>
        <v/>
      </c>
      <c r="AI32" s="20" t="n"/>
    </row>
    <row r="33">
      <c r="A33" s="11" t="inlineStr">
        <is>
          <t>Diamonds - Rosecut Diamonds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  <c r="AI33" s="12" t="n"/>
    </row>
    <row r="34">
      <c r="A34" s="13" t="inlineStr">
        <is>
          <t>Di. RC 1</t>
        </is>
      </c>
      <c r="B34" s="14" t="n">
        <v>29.08</v>
      </c>
      <c r="C34" s="14" t="n">
        <v>407789</v>
      </c>
      <c r="D34" s="15" t="n"/>
      <c r="E34" s="15" t="n"/>
      <c r="F34" s="15" t="n"/>
      <c r="G34" s="15" t="n"/>
      <c r="H34" s="14" t="n">
        <v>51.84</v>
      </c>
      <c r="I34" s="14" t="n">
        <v>252503</v>
      </c>
      <c r="J34" s="15" t="n"/>
      <c r="K34" s="15" t="n"/>
      <c r="L34" s="14" t="n">
        <v>51.84</v>
      </c>
      <c r="M34" s="14" t="n">
        <v>252503</v>
      </c>
      <c r="N34" s="14" t="n">
        <v>80.92</v>
      </c>
      <c r="O34" s="14" t="n">
        <v>660292</v>
      </c>
      <c r="P34" s="14" t="n">
        <v>8160</v>
      </c>
      <c r="Q34" s="15" t="n"/>
      <c r="R34" s="15" t="n"/>
      <c r="S34" s="15" t="n"/>
      <c r="T34" s="15" t="n"/>
      <c r="U34" s="15" t="n"/>
      <c r="V34" s="15" t="n"/>
      <c r="W34" s="15" t="n"/>
      <c r="X34" s="15" t="n"/>
      <c r="Y34" s="14" t="n">
        <v>70.23</v>
      </c>
      <c r="Z34" s="14" t="n">
        <v>1092525</v>
      </c>
      <c r="AA34" s="14" t="n">
        <v>10.69</v>
      </c>
      <c r="AB34" s="14" t="n">
        <v>87228</v>
      </c>
      <c r="AC34" s="14" t="n">
        <v>519461</v>
      </c>
      <c r="AD34" s="16" t="n">
        <v>0.4755</v>
      </c>
      <c r="AE34" s="15" t="n"/>
      <c r="AF34" s="15" t="n"/>
      <c r="AG34" s="15" t="n"/>
      <c r="AH34" s="15" t="n"/>
      <c r="AI34" s="15" t="n"/>
    </row>
    <row r="35">
      <c r="A35" s="13" t="inlineStr">
        <is>
          <t>Di. RC 2</t>
        </is>
      </c>
      <c r="B35" s="14" t="n">
        <v>6.28</v>
      </c>
      <c r="C35" s="14" t="n">
        <v>116180</v>
      </c>
      <c r="D35" s="15" t="n"/>
      <c r="E35" s="15" t="n"/>
      <c r="F35" s="15" t="n"/>
      <c r="G35" s="15" t="n"/>
      <c r="H35" s="14" t="n">
        <v>24.94</v>
      </c>
      <c r="I35" s="14" t="n">
        <v>11006</v>
      </c>
      <c r="J35" s="15" t="n"/>
      <c r="K35" s="15" t="n"/>
      <c r="L35" s="14" t="n">
        <v>24.94</v>
      </c>
      <c r="M35" s="14" t="n">
        <v>11006</v>
      </c>
      <c r="N35" s="14" t="n">
        <v>31.22</v>
      </c>
      <c r="O35" s="14" t="n">
        <v>127186</v>
      </c>
      <c r="P35" s="14" t="n">
        <v>4074</v>
      </c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4" t="n">
        <v>31.22</v>
      </c>
      <c r="AB35" s="14" t="n">
        <v>127186</v>
      </c>
      <c r="AC35" s="14" t="n">
        <v>-0</v>
      </c>
      <c r="AD35" s="16" t="n">
        <v>0</v>
      </c>
      <c r="AE35" s="15" t="n"/>
      <c r="AF35" s="15" t="n"/>
      <c r="AG35" s="15" t="n"/>
      <c r="AH35" s="15" t="n"/>
      <c r="AI35" s="15" t="n"/>
    </row>
    <row r="36">
      <c r="A36" s="13" t="inlineStr">
        <is>
          <t>Di. RC 3</t>
        </is>
      </c>
      <c r="B36" s="14" t="n">
        <v>25.56</v>
      </c>
      <c r="C36" s="14" t="n">
        <v>639000</v>
      </c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4" t="n">
        <v>25.56</v>
      </c>
      <c r="O36" s="14" t="n">
        <v>639000</v>
      </c>
      <c r="P36" s="14" t="n">
        <v>25000</v>
      </c>
      <c r="Q36" s="15" t="n"/>
      <c r="R36" s="15" t="n"/>
      <c r="S36" s="14" t="n">
        <v>1.02</v>
      </c>
      <c r="T36" s="14" t="n">
        <v>25500</v>
      </c>
      <c r="U36" s="15" t="n"/>
      <c r="V36" s="15" t="n"/>
      <c r="W36" s="14" t="n">
        <v>1.02</v>
      </c>
      <c r="X36" s="14" t="n">
        <v>25500</v>
      </c>
      <c r="Y36" s="15" t="n"/>
      <c r="Z36" s="15" t="n"/>
      <c r="AA36" s="14" t="n">
        <v>24.54</v>
      </c>
      <c r="AB36" s="14" t="n">
        <v>613500</v>
      </c>
      <c r="AC36" s="14" t="n">
        <v>0</v>
      </c>
      <c r="AD36" s="16" t="n">
        <v>0</v>
      </c>
      <c r="AE36" s="15" t="n"/>
      <c r="AF36" s="15" t="n"/>
      <c r="AG36" s="15" t="n"/>
      <c r="AH36" s="15" t="n"/>
      <c r="AI36" s="15" t="n"/>
    </row>
    <row r="37">
      <c r="A37" s="13" t="inlineStr">
        <is>
          <t>Di. RC 4</t>
        </is>
      </c>
      <c r="B37" s="14" t="n">
        <v>9.460000000000001</v>
      </c>
      <c r="C37" s="14" t="n">
        <v>295625</v>
      </c>
      <c r="D37" s="15" t="n"/>
      <c r="E37" s="15" t="n"/>
      <c r="F37" s="15" t="n"/>
      <c r="G37" s="15" t="n"/>
      <c r="H37" s="14" t="n">
        <v>11.32</v>
      </c>
      <c r="I37" s="14" t="n">
        <v>171257</v>
      </c>
      <c r="J37" s="15" t="n"/>
      <c r="K37" s="15" t="n"/>
      <c r="L37" s="14" t="n">
        <v>11.32</v>
      </c>
      <c r="M37" s="14" t="n">
        <v>171257</v>
      </c>
      <c r="N37" s="14" t="n">
        <v>20.78</v>
      </c>
      <c r="O37" s="14" t="n">
        <v>466882</v>
      </c>
      <c r="P37" s="14" t="n">
        <v>22468</v>
      </c>
      <c r="Q37" s="15" t="n"/>
      <c r="R37" s="15" t="n"/>
      <c r="S37" s="15" t="n"/>
      <c r="T37" s="15" t="n"/>
      <c r="U37" s="15" t="n"/>
      <c r="V37" s="15" t="n"/>
      <c r="W37" s="15" t="n"/>
      <c r="X37" s="15" t="n"/>
      <c r="Y37" s="14" t="n">
        <v>2.87</v>
      </c>
      <c r="Z37" s="14" t="n">
        <v>84255</v>
      </c>
      <c r="AA37" s="14" t="n">
        <v>17.91</v>
      </c>
      <c r="AB37" s="14" t="n">
        <v>402399</v>
      </c>
      <c r="AC37" s="14" t="n">
        <v>19772</v>
      </c>
      <c r="AD37" s="16" t="n">
        <v>0.2347</v>
      </c>
      <c r="AE37" s="15" t="n"/>
      <c r="AF37" s="15" t="n"/>
      <c r="AG37" s="15" t="n"/>
      <c r="AH37" s="15" t="n"/>
      <c r="AI37" s="15" t="n"/>
    </row>
    <row r="38">
      <c r="A38" s="13" t="inlineStr">
        <is>
          <t>Di. RC 5</t>
        </is>
      </c>
      <c r="B38" s="14" t="n">
        <v>14.53</v>
      </c>
      <c r="C38" s="14" t="n">
        <v>490954</v>
      </c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4" t="n">
        <v>14.53</v>
      </c>
      <c r="O38" s="14" t="n">
        <v>490954</v>
      </c>
      <c r="P38" s="14" t="n">
        <v>33789</v>
      </c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4" t="n">
        <v>14.53</v>
      </c>
      <c r="AB38" s="14" t="n">
        <v>490954</v>
      </c>
      <c r="AC38" s="14" t="n">
        <v>-0</v>
      </c>
      <c r="AD38" s="16" t="n">
        <v>0</v>
      </c>
      <c r="AE38" s="15" t="n"/>
      <c r="AF38" s="15" t="n"/>
      <c r="AG38" s="15" t="n"/>
      <c r="AH38" s="15" t="n"/>
      <c r="AI38" s="15" t="n"/>
    </row>
    <row r="39">
      <c r="A39" s="13" t="inlineStr">
        <is>
          <t>Di. RC 6</t>
        </is>
      </c>
      <c r="B39" s="14" t="n">
        <v>13.35</v>
      </c>
      <c r="C39" s="14" t="n">
        <v>500564</v>
      </c>
      <c r="D39" s="15" t="n"/>
      <c r="E39" s="15" t="n"/>
      <c r="F39" s="15" t="n"/>
      <c r="G39" s="15" t="n"/>
      <c r="H39" s="14" t="n">
        <v>0.7</v>
      </c>
      <c r="I39" s="14" t="n">
        <v>612</v>
      </c>
      <c r="J39" s="15" t="n"/>
      <c r="K39" s="15" t="n"/>
      <c r="L39" s="14" t="n">
        <v>0.7</v>
      </c>
      <c r="M39" s="14" t="n">
        <v>612</v>
      </c>
      <c r="N39" s="14" t="n">
        <v>14.05</v>
      </c>
      <c r="O39" s="14" t="n">
        <v>501176</v>
      </c>
      <c r="P39" s="14" t="n">
        <v>35671</v>
      </c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4" t="n">
        <v>14.05</v>
      </c>
      <c r="AB39" s="14" t="n">
        <v>501176</v>
      </c>
      <c r="AC39" s="14" t="n">
        <v>-0</v>
      </c>
      <c r="AD39" s="16" t="n">
        <v>0</v>
      </c>
      <c r="AE39" s="15" t="n"/>
      <c r="AF39" s="15" t="n"/>
      <c r="AG39" s="15" t="n"/>
      <c r="AH39" s="15" t="n"/>
      <c r="AI39" s="15" t="n"/>
    </row>
    <row r="40">
      <c r="A40" s="13" t="inlineStr">
        <is>
          <t>Di. RC 7</t>
        </is>
      </c>
      <c r="B40" s="14" t="n">
        <v>2.51</v>
      </c>
      <c r="C40" s="14" t="n">
        <v>105072</v>
      </c>
      <c r="D40" s="15" t="n"/>
      <c r="E40" s="15" t="n"/>
      <c r="F40" s="15" t="n"/>
      <c r="G40" s="15" t="n"/>
      <c r="H40" s="14" t="n">
        <v>10.56</v>
      </c>
      <c r="I40" s="14" t="n">
        <v>4579</v>
      </c>
      <c r="J40" s="15" t="n"/>
      <c r="K40" s="15" t="n"/>
      <c r="L40" s="14" t="n">
        <v>10.56</v>
      </c>
      <c r="M40" s="14" t="n">
        <v>4579</v>
      </c>
      <c r="N40" s="14" t="n">
        <v>13.07</v>
      </c>
      <c r="O40" s="14" t="n">
        <v>109651</v>
      </c>
      <c r="P40" s="14" t="n">
        <v>8389</v>
      </c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4" t="n">
        <v>13.07</v>
      </c>
      <c r="AB40" s="14" t="n">
        <v>109651</v>
      </c>
      <c r="AC40" s="14" t="n">
        <v>-0</v>
      </c>
      <c r="AD40" s="16" t="n">
        <v>0</v>
      </c>
      <c r="AE40" s="15" t="n"/>
      <c r="AF40" s="15" t="n"/>
      <c r="AG40" s="15" t="n"/>
      <c r="AH40" s="15" t="n"/>
      <c r="AI40" s="15" t="n"/>
    </row>
    <row r="41">
      <c r="A41" s="13" t="inlineStr">
        <is>
          <t>Di. RC 8</t>
        </is>
      </c>
      <c r="B41" s="14" t="n">
        <v>6.06</v>
      </c>
      <c r="C41" s="14" t="n">
        <v>273129</v>
      </c>
      <c r="D41" s="15" t="n"/>
      <c r="E41" s="15" t="n"/>
      <c r="F41" s="15" t="n"/>
      <c r="G41" s="15" t="n"/>
      <c r="H41" s="14" t="n">
        <v>2.24</v>
      </c>
      <c r="I41" s="14" t="n">
        <v>5606</v>
      </c>
      <c r="J41" s="15" t="n"/>
      <c r="K41" s="15" t="n"/>
      <c r="L41" s="14" t="n">
        <v>2.24</v>
      </c>
      <c r="M41" s="14" t="n">
        <v>5606</v>
      </c>
      <c r="N41" s="14" t="n">
        <v>8.300000000000001</v>
      </c>
      <c r="O41" s="14" t="n">
        <v>278735</v>
      </c>
      <c r="P41" s="14" t="n">
        <v>33583</v>
      </c>
      <c r="Q41" s="15" t="n"/>
      <c r="R41" s="15" t="n"/>
      <c r="S41" s="15" t="n"/>
      <c r="T41" s="15" t="n"/>
      <c r="U41" s="15" t="n"/>
      <c r="V41" s="15" t="n"/>
      <c r="W41" s="15" t="n"/>
      <c r="X41" s="15" t="n"/>
      <c r="Y41" s="14" t="n">
        <v>0.35</v>
      </c>
      <c r="Z41" s="14" t="n">
        <v>19250</v>
      </c>
      <c r="AA41" s="14" t="n">
        <v>7.95</v>
      </c>
      <c r="AB41" s="14" t="n">
        <v>266981</v>
      </c>
      <c r="AC41" s="14" t="n">
        <v>7496</v>
      </c>
      <c r="AD41" s="16" t="n">
        <v>0.3894</v>
      </c>
      <c r="AE41" s="15" t="n"/>
      <c r="AF41" s="15" t="n"/>
      <c r="AG41" s="15" t="n"/>
      <c r="AH41" s="15" t="n"/>
      <c r="AI41" s="15" t="n"/>
    </row>
    <row r="42">
      <c r="A42" s="13" t="inlineStr">
        <is>
          <t>Di. RC 10</t>
        </is>
      </c>
      <c r="B42" s="14" t="n">
        <v>4.06</v>
      </c>
      <c r="C42" s="14" t="n">
        <v>217541</v>
      </c>
      <c r="D42" s="15" t="n"/>
      <c r="E42" s="15" t="n"/>
      <c r="F42" s="15" t="n"/>
      <c r="G42" s="15" t="n"/>
      <c r="H42" s="14" t="n">
        <v>1.5</v>
      </c>
      <c r="I42" s="14" t="n">
        <v>0</v>
      </c>
      <c r="J42" s="15" t="n"/>
      <c r="K42" s="15" t="n"/>
      <c r="L42" s="14" t="n">
        <v>1.5</v>
      </c>
      <c r="M42" s="14" t="n">
        <v>0</v>
      </c>
      <c r="N42" s="14" t="n">
        <v>5.56</v>
      </c>
      <c r="O42" s="14" t="n">
        <v>217541</v>
      </c>
      <c r="P42" s="14" t="n">
        <v>39126</v>
      </c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4" t="n">
        <v>5.56</v>
      </c>
      <c r="AB42" s="14" t="n">
        <v>217541</v>
      </c>
      <c r="AC42" s="14" t="n">
        <v>-0</v>
      </c>
      <c r="AD42" s="16" t="n">
        <v>0</v>
      </c>
      <c r="AE42" s="15" t="n"/>
      <c r="AF42" s="15" t="n"/>
      <c r="AG42" s="15" t="n"/>
      <c r="AH42" s="15" t="n"/>
      <c r="AI42" s="15" t="n"/>
    </row>
    <row r="43">
      <c r="A43" s="13" t="inlineStr">
        <is>
          <t>Di. RC 13</t>
        </is>
      </c>
      <c r="B43" s="14" t="n">
        <v>0</v>
      </c>
      <c r="C43" s="15" t="n"/>
      <c r="D43" s="15" t="n"/>
      <c r="E43" s="15" t="n"/>
      <c r="F43" s="15" t="n"/>
      <c r="G43" s="15" t="n"/>
      <c r="H43" s="14" t="n">
        <v>1.01</v>
      </c>
      <c r="I43" s="14" t="n">
        <v>0</v>
      </c>
      <c r="J43" s="15" t="n"/>
      <c r="K43" s="15" t="n"/>
      <c r="L43" s="14" t="n">
        <v>1.01</v>
      </c>
      <c r="M43" s="14" t="n">
        <v>0</v>
      </c>
      <c r="N43" s="14" t="n">
        <v>1.01</v>
      </c>
      <c r="O43" s="14" t="n">
        <v>0</v>
      </c>
      <c r="P43" s="14" t="n">
        <v>0</v>
      </c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4" t="n">
        <v>1.01</v>
      </c>
      <c r="AB43" s="14" t="n">
        <v>0</v>
      </c>
      <c r="AC43" s="14" t="n">
        <v>0</v>
      </c>
      <c r="AD43" s="16" t="n">
        <v>0</v>
      </c>
      <c r="AE43" s="15" t="n"/>
      <c r="AF43" s="15" t="n"/>
      <c r="AG43" s="15" t="n"/>
      <c r="AH43" s="15" t="n"/>
      <c r="AI43" s="15" t="n"/>
    </row>
    <row r="44">
      <c r="A44" s="13" t="inlineStr">
        <is>
          <t>Di. RC 14</t>
        </is>
      </c>
      <c r="B44" s="14" t="n">
        <v>0</v>
      </c>
      <c r="C44" s="15" t="n"/>
      <c r="D44" s="15" t="n"/>
      <c r="E44" s="15" t="n"/>
      <c r="F44" s="15" t="n"/>
      <c r="G44" s="15" t="n"/>
      <c r="H44" s="14" t="n">
        <v>0.5</v>
      </c>
      <c r="I44" s="14" t="n">
        <v>0</v>
      </c>
      <c r="J44" s="15" t="n"/>
      <c r="K44" s="15" t="n"/>
      <c r="L44" s="14" t="n">
        <v>0.5</v>
      </c>
      <c r="M44" s="14" t="n">
        <v>0</v>
      </c>
      <c r="N44" s="14" t="n">
        <v>0.5</v>
      </c>
      <c r="O44" s="14" t="n">
        <v>0</v>
      </c>
      <c r="P44" s="14" t="n">
        <v>0</v>
      </c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4" t="n">
        <v>0.5</v>
      </c>
      <c r="AB44" s="14" t="n">
        <v>0</v>
      </c>
      <c r="AC44" s="14" t="n">
        <v>0</v>
      </c>
      <c r="AD44" s="16" t="n">
        <v>0</v>
      </c>
      <c r="AE44" s="15" t="n"/>
      <c r="AF44" s="15" t="n"/>
      <c r="AG44" s="15" t="n"/>
      <c r="AH44" s="15" t="n"/>
      <c r="AI44" s="15" t="n"/>
    </row>
    <row r="45">
      <c r="A45" s="13" t="inlineStr">
        <is>
          <t>Di. RC 16</t>
        </is>
      </c>
      <c r="B45" s="14" t="n">
        <v>0</v>
      </c>
      <c r="C45" s="15" t="n"/>
      <c r="D45" s="15" t="n"/>
      <c r="E45" s="15" t="n"/>
      <c r="F45" s="15" t="n"/>
      <c r="G45" s="15" t="n"/>
      <c r="H45" s="14" t="n">
        <v>1.2</v>
      </c>
      <c r="I45" s="14" t="n">
        <v>58628</v>
      </c>
      <c r="J45" s="15" t="n"/>
      <c r="K45" s="15" t="n"/>
      <c r="L45" s="14" t="n">
        <v>1.2</v>
      </c>
      <c r="M45" s="14" t="n">
        <v>58628</v>
      </c>
      <c r="N45" s="14" t="n">
        <v>1.2</v>
      </c>
      <c r="O45" s="14" t="n">
        <v>58628</v>
      </c>
      <c r="P45" s="14" t="n">
        <v>48857</v>
      </c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4" t="n">
        <v>1.2</v>
      </c>
      <c r="AB45" s="14" t="n">
        <v>58628</v>
      </c>
      <c r="AC45" s="14" t="n">
        <v>0</v>
      </c>
      <c r="AD45" s="16" t="n">
        <v>0</v>
      </c>
      <c r="AE45" s="15" t="n"/>
      <c r="AF45" s="15" t="n"/>
      <c r="AG45" s="15" t="n"/>
      <c r="AH45" s="15" t="n"/>
      <c r="AI45" s="15" t="n"/>
    </row>
    <row r="46">
      <c r="A46" s="17" t="inlineStr">
        <is>
          <t>TOTAL</t>
        </is>
      </c>
      <c r="B46" s="18" t="n">
        <v>110.89</v>
      </c>
      <c r="C46" s="18" t="n">
        <v>3045854</v>
      </c>
      <c r="D46" s="18">
        <f>SUM(D34:D45)</f>
        <v/>
      </c>
      <c r="E46" s="18">
        <f>SUM(E34:E45)</f>
        <v/>
      </c>
      <c r="F46" s="18">
        <f>SUM(F34:F45)</f>
        <v/>
      </c>
      <c r="G46" s="18">
        <f>SUM(G34:G45)</f>
        <v/>
      </c>
      <c r="H46" s="18" t="n">
        <v>105.81</v>
      </c>
      <c r="I46" s="18" t="n">
        <v>504191</v>
      </c>
      <c r="J46" s="18">
        <f>SUM(J34:J45)</f>
        <v/>
      </c>
      <c r="K46" s="18">
        <f>SUM(K34:K45)</f>
        <v/>
      </c>
      <c r="L46" s="18" t="n">
        <v>105.81</v>
      </c>
      <c r="M46" s="18" t="n">
        <v>504191</v>
      </c>
      <c r="N46" s="18" t="n">
        <v>216.7</v>
      </c>
      <c r="O46" s="18" t="n">
        <v>3550045</v>
      </c>
      <c r="P46" s="18" t="n">
        <v>16382</v>
      </c>
      <c r="Q46" s="18">
        <f>SUM(Q34:Q45)</f>
        <v/>
      </c>
      <c r="R46" s="18">
        <f>SUM(R34:R45)</f>
        <v/>
      </c>
      <c r="S46" s="18" t="n">
        <v>1.02</v>
      </c>
      <c r="T46" s="18" t="n">
        <v>25500</v>
      </c>
      <c r="U46" s="18">
        <f>SUM(U34:U45)</f>
        <v/>
      </c>
      <c r="V46" s="18">
        <f>SUM(V34:V45)</f>
        <v/>
      </c>
      <c r="W46" s="18" t="n">
        <v>1.02</v>
      </c>
      <c r="X46" s="18" t="n">
        <v>25500</v>
      </c>
      <c r="Y46" s="18" t="n">
        <v>73.45</v>
      </c>
      <c r="Z46" s="18" t="n">
        <v>1196030</v>
      </c>
      <c r="AA46" s="18" t="n">
        <v>142.23</v>
      </c>
      <c r="AB46" s="18" t="n">
        <v>2875245</v>
      </c>
      <c r="AC46" s="18" t="n">
        <v>546729</v>
      </c>
      <c r="AD46" s="19" t="n">
        <v>0.4571</v>
      </c>
      <c r="AE46" s="18">
        <f>SUM(AE34:AE45)</f>
        <v/>
      </c>
      <c r="AF46" s="18">
        <f>SUM(AF34:AF45)</f>
        <v/>
      </c>
      <c r="AG46" s="18">
        <f>SUM(AG34:AG45)</f>
        <v/>
      </c>
      <c r="AH46" s="18">
        <f>SUM(AH34:AH45)</f>
        <v/>
      </c>
      <c r="AI46" s="20" t="n"/>
    </row>
    <row r="47">
      <c r="A47" s="11" t="inlineStr">
        <is>
          <t>Diamonds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2" t="n"/>
      <c r="AC47" s="12" t="n"/>
      <c r="AD47" s="12" t="n"/>
      <c r="AE47" s="12" t="n"/>
      <c r="AF47" s="12" t="n"/>
      <c r="AG47" s="12" t="n"/>
      <c r="AH47" s="12" t="n"/>
      <c r="AI47" s="12" t="n"/>
    </row>
    <row r="48">
      <c r="A48" s="13" t="inlineStr">
        <is>
          <t>Di. RA 10</t>
        </is>
      </c>
      <c r="B48" s="14" t="n">
        <v>16.57</v>
      </c>
      <c r="C48" s="14" t="n">
        <v>233757</v>
      </c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4" t="n">
        <v>16.57</v>
      </c>
      <c r="O48" s="14" t="n">
        <v>233757</v>
      </c>
      <c r="P48" s="14" t="n">
        <v>14107</v>
      </c>
      <c r="Q48" s="15" t="n"/>
      <c r="R48" s="15" t="n"/>
      <c r="S48" s="15" t="n"/>
      <c r="T48" s="15" t="n"/>
      <c r="U48" s="15" t="n"/>
      <c r="V48" s="15" t="n"/>
      <c r="W48" s="15" t="n"/>
      <c r="X48" s="15" t="n"/>
      <c r="Y48" s="14" t="n">
        <v>16.57</v>
      </c>
      <c r="Z48" s="14" t="n">
        <v>229218</v>
      </c>
      <c r="AA48" s="14" t="n">
        <v>0</v>
      </c>
      <c r="AB48" s="14" t="n">
        <v>0</v>
      </c>
      <c r="AC48" s="14" t="n">
        <v>-4539</v>
      </c>
      <c r="AD48" s="16" t="n">
        <v>0</v>
      </c>
      <c r="AE48" s="15" t="n"/>
      <c r="AF48" s="15" t="n"/>
      <c r="AG48" s="15" t="n"/>
      <c r="AH48" s="15" t="n"/>
      <c r="AI48" s="15" t="n"/>
    </row>
    <row r="49">
      <c r="A49" s="13" t="inlineStr">
        <is>
          <t>Di. RA 15</t>
        </is>
      </c>
      <c r="B49" s="14" t="n">
        <v>557.039</v>
      </c>
      <c r="C49" s="14" t="n">
        <v>11330977</v>
      </c>
      <c r="D49" s="15" t="n"/>
      <c r="E49" s="15" t="n"/>
      <c r="F49" s="15" t="n"/>
      <c r="G49" s="15" t="n"/>
      <c r="H49" s="14" t="n">
        <v>521.25</v>
      </c>
      <c r="I49" s="14" t="n">
        <v>9815568</v>
      </c>
      <c r="J49" s="15" t="n"/>
      <c r="K49" s="15" t="n"/>
      <c r="L49" s="14" t="n">
        <v>521.25</v>
      </c>
      <c r="M49" s="14" t="n">
        <v>9815568</v>
      </c>
      <c r="N49" s="14" t="n">
        <v>1078.289</v>
      </c>
      <c r="O49" s="14" t="n">
        <v>21146545</v>
      </c>
      <c r="P49" s="14" t="n">
        <v>19611</v>
      </c>
      <c r="Q49" s="15" t="n"/>
      <c r="R49" s="15" t="n"/>
      <c r="S49" s="15" t="n"/>
      <c r="T49" s="15" t="n"/>
      <c r="U49" s="15" t="n"/>
      <c r="V49" s="15" t="n"/>
      <c r="W49" s="15" t="n"/>
      <c r="X49" s="15" t="n"/>
      <c r="Y49" s="14" t="n">
        <v>702.385</v>
      </c>
      <c r="Z49" s="14" t="n">
        <v>13550741</v>
      </c>
      <c r="AA49" s="14" t="n">
        <v>375.904</v>
      </c>
      <c r="AB49" s="14" t="n">
        <v>7371930</v>
      </c>
      <c r="AC49" s="14" t="n">
        <v>-223874</v>
      </c>
      <c r="AD49" s="16" t="n">
        <v>0</v>
      </c>
      <c r="AE49" s="15" t="n"/>
      <c r="AF49" s="15" t="n"/>
      <c r="AG49" s="15" t="n"/>
      <c r="AH49" s="15" t="n"/>
      <c r="AI49" s="15" t="n"/>
    </row>
    <row r="50">
      <c r="A50" s="13" t="inlineStr">
        <is>
          <t>Di. RA 20</t>
        </is>
      </c>
      <c r="B50" s="14" t="n">
        <v>1356.887</v>
      </c>
      <c r="C50" s="14" t="n">
        <v>35181652</v>
      </c>
      <c r="D50" s="15" t="n"/>
      <c r="E50" s="15" t="n"/>
      <c r="F50" s="15" t="n"/>
      <c r="G50" s="15" t="n"/>
      <c r="H50" s="14" t="n">
        <v>168.94</v>
      </c>
      <c r="I50" s="14" t="n">
        <v>3737205</v>
      </c>
      <c r="J50" s="15" t="n"/>
      <c r="K50" s="15" t="n"/>
      <c r="L50" s="14" t="n">
        <v>168.94</v>
      </c>
      <c r="M50" s="14" t="n">
        <v>3737205</v>
      </c>
      <c r="N50" s="14" t="n">
        <v>1525.827</v>
      </c>
      <c r="O50" s="14" t="n">
        <v>38918857</v>
      </c>
      <c r="P50" s="14" t="n">
        <v>25507</v>
      </c>
      <c r="Q50" s="15" t="n"/>
      <c r="R50" s="15" t="n"/>
      <c r="S50" s="15" t="n"/>
      <c r="T50" s="15" t="n"/>
      <c r="U50" s="15" t="n"/>
      <c r="V50" s="15" t="n"/>
      <c r="W50" s="15" t="n"/>
      <c r="X50" s="15" t="n"/>
      <c r="Y50" s="14" t="n">
        <v>337.42</v>
      </c>
      <c r="Z50" s="14" t="n">
        <v>8993349</v>
      </c>
      <c r="AA50" s="14" t="n">
        <v>1188.407</v>
      </c>
      <c r="AB50" s="14" t="n">
        <v>30312377</v>
      </c>
      <c r="AC50" s="14" t="n">
        <v>386868</v>
      </c>
      <c r="AD50" s="16" t="n">
        <v>0.043</v>
      </c>
      <c r="AE50" s="15" t="n"/>
      <c r="AF50" s="15" t="n"/>
      <c r="AG50" s="15" t="n"/>
      <c r="AH50" s="15" t="n"/>
      <c r="AI50" s="15" t="n"/>
    </row>
    <row r="51">
      <c r="A51" s="13" t="inlineStr">
        <is>
          <t>Di. RA 25</t>
        </is>
      </c>
      <c r="B51" s="14" t="n">
        <v>542.03</v>
      </c>
      <c r="C51" s="14" t="n">
        <v>15768310</v>
      </c>
      <c r="D51" s="15" t="n"/>
      <c r="E51" s="15" t="n"/>
      <c r="F51" s="15" t="n"/>
      <c r="G51" s="15" t="n"/>
      <c r="H51" s="14" t="n">
        <v>108.51</v>
      </c>
      <c r="I51" s="14" t="n">
        <v>2891279</v>
      </c>
      <c r="J51" s="15" t="n"/>
      <c r="K51" s="15" t="n"/>
      <c r="L51" s="14" t="n">
        <v>108.51</v>
      </c>
      <c r="M51" s="14" t="n">
        <v>2891279</v>
      </c>
      <c r="N51" s="14" t="n">
        <v>650.54</v>
      </c>
      <c r="O51" s="14" t="n">
        <v>18659589</v>
      </c>
      <c r="P51" s="14" t="n">
        <v>28683</v>
      </c>
      <c r="Q51" s="15" t="n"/>
      <c r="R51" s="15" t="n"/>
      <c r="S51" s="15" t="n"/>
      <c r="T51" s="15" t="n"/>
      <c r="U51" s="15" t="n"/>
      <c r="V51" s="15" t="n"/>
      <c r="W51" s="15" t="n"/>
      <c r="X51" s="15" t="n"/>
      <c r="Y51" s="14" t="n">
        <v>162.12</v>
      </c>
      <c r="Z51" s="14" t="n">
        <v>5190159</v>
      </c>
      <c r="AA51" s="14" t="n">
        <v>488.42</v>
      </c>
      <c r="AB51" s="14" t="n">
        <v>14009463</v>
      </c>
      <c r="AC51" s="14" t="n">
        <v>540034</v>
      </c>
      <c r="AD51" s="16" t="n">
        <v>0.104</v>
      </c>
      <c r="AE51" s="15" t="n"/>
      <c r="AF51" s="15" t="n"/>
      <c r="AG51" s="15" t="n"/>
      <c r="AH51" s="15" t="n"/>
      <c r="AI51" s="15" t="n"/>
    </row>
    <row r="52">
      <c r="A52" s="13" t="inlineStr">
        <is>
          <t>Di. RA 30</t>
        </is>
      </c>
      <c r="B52" s="14" t="n">
        <v>2194.308</v>
      </c>
      <c r="C52" s="14" t="n">
        <v>72582193</v>
      </c>
      <c r="D52" s="15" t="n"/>
      <c r="E52" s="15" t="n"/>
      <c r="F52" s="15" t="n"/>
      <c r="G52" s="15" t="n"/>
      <c r="H52" s="14" t="n">
        <v>1424.77</v>
      </c>
      <c r="I52" s="14" t="n">
        <v>6775863</v>
      </c>
      <c r="J52" s="15" t="n"/>
      <c r="K52" s="15" t="n"/>
      <c r="L52" s="14" t="n">
        <v>1424.77</v>
      </c>
      <c r="M52" s="14" t="n">
        <v>6775863</v>
      </c>
      <c r="N52" s="14" t="n">
        <v>3619.078</v>
      </c>
      <c r="O52" s="14" t="n">
        <v>79358056</v>
      </c>
      <c r="P52" s="14" t="n">
        <v>21928</v>
      </c>
      <c r="Q52" s="15" t="n"/>
      <c r="R52" s="15" t="n"/>
      <c r="S52" s="15" t="n"/>
      <c r="T52" s="15" t="n"/>
      <c r="U52" s="15" t="n"/>
      <c r="V52" s="15" t="n"/>
      <c r="W52" s="15" t="n"/>
      <c r="X52" s="15" t="n"/>
      <c r="Y52" s="14" t="n">
        <v>103.21</v>
      </c>
      <c r="Z52" s="14" t="n">
        <v>3847270</v>
      </c>
      <c r="AA52" s="14" t="n">
        <v>3515.868</v>
      </c>
      <c r="AB52" s="14" t="n">
        <v>77094898</v>
      </c>
      <c r="AC52" s="14" t="n">
        <v>1584112</v>
      </c>
      <c r="AD52" s="16" t="n">
        <v>0.4117</v>
      </c>
      <c r="AE52" s="15" t="n"/>
      <c r="AF52" s="15" t="n"/>
      <c r="AG52" s="15" t="n"/>
      <c r="AH52" s="15" t="n"/>
      <c r="AI52" s="15" t="n"/>
    </row>
    <row r="53">
      <c r="A53" s="13" t="inlineStr">
        <is>
          <t>Di. RA 35</t>
        </is>
      </c>
      <c r="B53" s="14" t="n">
        <v>237.706</v>
      </c>
      <c r="C53" s="14" t="n">
        <v>9550945</v>
      </c>
      <c r="D53" s="15" t="n"/>
      <c r="E53" s="15" t="n"/>
      <c r="F53" s="15" t="n"/>
      <c r="G53" s="15" t="n"/>
      <c r="H53" s="14" t="n">
        <v>197.97</v>
      </c>
      <c r="I53" s="14" t="n">
        <v>7226426</v>
      </c>
      <c r="J53" s="15" t="n"/>
      <c r="K53" s="15" t="n"/>
      <c r="L53" s="14" t="n">
        <v>197.97</v>
      </c>
      <c r="M53" s="14" t="n">
        <v>7226426</v>
      </c>
      <c r="N53" s="14" t="n">
        <v>435.676</v>
      </c>
      <c r="O53" s="14" t="n">
        <v>16777371</v>
      </c>
      <c r="P53" s="14" t="n">
        <v>38509</v>
      </c>
      <c r="Q53" s="15" t="n"/>
      <c r="R53" s="15" t="n"/>
      <c r="S53" s="15" t="n"/>
      <c r="T53" s="15" t="n"/>
      <c r="U53" s="15" t="n"/>
      <c r="V53" s="15" t="n"/>
      <c r="W53" s="15" t="n"/>
      <c r="X53" s="15" t="n"/>
      <c r="Y53" s="14" t="n">
        <v>72.55</v>
      </c>
      <c r="Z53" s="14" t="n">
        <v>3367507</v>
      </c>
      <c r="AA53" s="14" t="n">
        <v>363.126</v>
      </c>
      <c r="AB53" s="14" t="n">
        <v>13983556</v>
      </c>
      <c r="AC53" s="14" t="n">
        <v>573692</v>
      </c>
      <c r="AD53" s="16" t="n">
        <v>0.1704</v>
      </c>
      <c r="AE53" s="15" t="n"/>
      <c r="AF53" s="15" t="n"/>
      <c r="AG53" s="15" t="n"/>
      <c r="AH53" s="15" t="n"/>
      <c r="AI53" s="15" t="n"/>
    </row>
    <row r="54">
      <c r="A54" s="13" t="inlineStr">
        <is>
          <t>Di. RA 40</t>
        </is>
      </c>
      <c r="B54" s="14" t="n">
        <v>35.72</v>
      </c>
      <c r="C54" s="14" t="n">
        <v>1498501</v>
      </c>
      <c r="D54" s="15" t="n"/>
      <c r="E54" s="15" t="n"/>
      <c r="F54" s="15" t="n"/>
      <c r="G54" s="15" t="n"/>
      <c r="H54" s="14" t="n">
        <v>190.5</v>
      </c>
      <c r="I54" s="14" t="n">
        <v>8048182</v>
      </c>
      <c r="J54" s="15" t="n"/>
      <c r="K54" s="15" t="n"/>
      <c r="L54" s="14" t="n">
        <v>190.5</v>
      </c>
      <c r="M54" s="14" t="n">
        <v>8048182</v>
      </c>
      <c r="N54" s="14" t="n">
        <v>226.22</v>
      </c>
      <c r="O54" s="14" t="n">
        <v>9546683</v>
      </c>
      <c r="P54" s="14" t="n">
        <v>42201</v>
      </c>
      <c r="Q54" s="15" t="n"/>
      <c r="R54" s="15" t="n"/>
      <c r="S54" s="15" t="n"/>
      <c r="T54" s="15" t="n"/>
      <c r="U54" s="15" t="n"/>
      <c r="V54" s="15" t="n"/>
      <c r="W54" s="15" t="n"/>
      <c r="X54" s="15" t="n"/>
      <c r="Y54" s="14" t="n">
        <v>116.57</v>
      </c>
      <c r="Z54" s="14" t="n">
        <v>6362729</v>
      </c>
      <c r="AA54" s="14" t="n">
        <v>109.65</v>
      </c>
      <c r="AB54" s="14" t="n">
        <v>4627326</v>
      </c>
      <c r="AC54" s="14" t="n">
        <v>1443373</v>
      </c>
      <c r="AD54" s="16" t="n">
        <v>0.2268</v>
      </c>
      <c r="AE54" s="15" t="n"/>
      <c r="AF54" s="15" t="n"/>
      <c r="AG54" s="15" t="n"/>
      <c r="AH54" s="15" t="n"/>
      <c r="AI54" s="15" t="n"/>
    </row>
    <row r="55">
      <c r="A55" s="13" t="inlineStr">
        <is>
          <t>Di. RA 45</t>
        </is>
      </c>
      <c r="B55" s="14" t="n">
        <v>78.16500000000001</v>
      </c>
      <c r="C55" s="14" t="n">
        <v>3575474</v>
      </c>
      <c r="D55" s="15" t="n"/>
      <c r="E55" s="15" t="n"/>
      <c r="F55" s="15" t="n"/>
      <c r="G55" s="15" t="n"/>
      <c r="H55" s="14" t="n">
        <v>158.12</v>
      </c>
      <c r="I55" s="14" t="n">
        <v>7287300</v>
      </c>
      <c r="J55" s="15" t="n"/>
      <c r="K55" s="15" t="n"/>
      <c r="L55" s="14" t="n">
        <v>158.12</v>
      </c>
      <c r="M55" s="14" t="n">
        <v>7287300</v>
      </c>
      <c r="N55" s="14" t="n">
        <v>236.285</v>
      </c>
      <c r="O55" s="14" t="n">
        <v>10862774</v>
      </c>
      <c r="P55" s="14" t="n">
        <v>45973</v>
      </c>
      <c r="Q55" s="15" t="n"/>
      <c r="R55" s="15" t="n"/>
      <c r="S55" s="15" t="n"/>
      <c r="T55" s="15" t="n"/>
      <c r="U55" s="15" t="n"/>
      <c r="V55" s="15" t="n"/>
      <c r="W55" s="15" t="n"/>
      <c r="X55" s="15" t="n"/>
      <c r="Y55" s="14" t="n">
        <v>182.72</v>
      </c>
      <c r="Z55" s="14" t="n">
        <v>10636458</v>
      </c>
      <c r="AA55" s="14" t="n">
        <v>53.565</v>
      </c>
      <c r="AB55" s="14" t="n">
        <v>2462554</v>
      </c>
      <c r="AC55" s="14" t="n">
        <v>2236238</v>
      </c>
      <c r="AD55" s="16" t="n">
        <v>0.2102</v>
      </c>
      <c r="AE55" s="15" t="n"/>
      <c r="AF55" s="15" t="n"/>
      <c r="AG55" s="15" t="n"/>
      <c r="AH55" s="15" t="n"/>
      <c r="AI55" s="15" t="n"/>
    </row>
    <row r="56">
      <c r="A56" s="13" t="inlineStr">
        <is>
          <t>Di. RA 50</t>
        </is>
      </c>
      <c r="B56" s="14" t="n">
        <v>29.65</v>
      </c>
      <c r="C56" s="14" t="n">
        <v>1598011</v>
      </c>
      <c r="D56" s="15" t="n"/>
      <c r="E56" s="15" t="n"/>
      <c r="F56" s="15" t="n"/>
      <c r="G56" s="15" t="n"/>
      <c r="H56" s="14" t="n">
        <v>211.48</v>
      </c>
      <c r="I56" s="14" t="n">
        <v>11330747</v>
      </c>
      <c r="J56" s="15" t="n"/>
      <c r="K56" s="15" t="n"/>
      <c r="L56" s="14" t="n">
        <v>211.48</v>
      </c>
      <c r="M56" s="14" t="n">
        <v>11330747</v>
      </c>
      <c r="N56" s="14" t="n">
        <v>241.13</v>
      </c>
      <c r="O56" s="14" t="n">
        <v>12928758</v>
      </c>
      <c r="P56" s="14" t="n">
        <v>53617</v>
      </c>
      <c r="Q56" s="15" t="n"/>
      <c r="R56" s="15" t="n"/>
      <c r="S56" s="15" t="n"/>
      <c r="T56" s="15" t="n"/>
      <c r="U56" s="15" t="n"/>
      <c r="V56" s="15" t="n"/>
      <c r="W56" s="15" t="n"/>
      <c r="X56" s="15" t="n"/>
      <c r="Y56" s="14" t="n">
        <v>186.3</v>
      </c>
      <c r="Z56" s="14" t="n">
        <v>12473851</v>
      </c>
      <c r="AA56" s="14" t="n">
        <v>54.83</v>
      </c>
      <c r="AB56" s="14" t="n">
        <v>2939841</v>
      </c>
      <c r="AC56" s="14" t="n">
        <v>2484934</v>
      </c>
      <c r="AD56" s="16" t="n">
        <v>0.1992</v>
      </c>
      <c r="AE56" s="15" t="n"/>
      <c r="AF56" s="15" t="n"/>
      <c r="AG56" s="15" t="n"/>
      <c r="AH56" s="15" t="n"/>
      <c r="AI56" s="15" t="n"/>
    </row>
    <row r="57">
      <c r="A57" s="13" t="inlineStr">
        <is>
          <t>Di. RA 60</t>
        </is>
      </c>
      <c r="B57" s="14" t="n">
        <v>6.23</v>
      </c>
      <c r="C57" s="14" t="n">
        <v>397008</v>
      </c>
      <c r="D57" s="15" t="n"/>
      <c r="E57" s="15" t="n"/>
      <c r="F57" s="15" t="n"/>
      <c r="G57" s="15" t="n"/>
      <c r="H57" s="14" t="n">
        <v>9.68</v>
      </c>
      <c r="I57" s="14" t="n">
        <v>614078</v>
      </c>
      <c r="J57" s="15" t="n"/>
      <c r="K57" s="15" t="n"/>
      <c r="L57" s="14" t="n">
        <v>9.68</v>
      </c>
      <c r="M57" s="14" t="n">
        <v>614078</v>
      </c>
      <c r="N57" s="14" t="n">
        <v>15.91</v>
      </c>
      <c r="O57" s="14" t="n">
        <v>1011086</v>
      </c>
      <c r="P57" s="14" t="n">
        <v>63550</v>
      </c>
      <c r="Q57" s="15" t="n"/>
      <c r="R57" s="15" t="n"/>
      <c r="S57" s="15" t="n"/>
      <c r="T57" s="15" t="n"/>
      <c r="U57" s="15" t="n"/>
      <c r="V57" s="15" t="n"/>
      <c r="W57" s="15" t="n"/>
      <c r="X57" s="15" t="n"/>
      <c r="Y57" s="14" t="n">
        <v>15.91</v>
      </c>
      <c r="Z57" s="14" t="n">
        <v>1200715</v>
      </c>
      <c r="AA57" s="14" t="n">
        <v>0</v>
      </c>
      <c r="AB57" s="14" t="n">
        <v>0</v>
      </c>
      <c r="AC57" s="14" t="n">
        <v>189629</v>
      </c>
      <c r="AD57" s="16" t="n">
        <v>0.1579</v>
      </c>
      <c r="AE57" s="15" t="n"/>
      <c r="AF57" s="15" t="n"/>
      <c r="AG57" s="15" t="n"/>
      <c r="AH57" s="15" t="n"/>
      <c r="AI57" s="15" t="n"/>
    </row>
    <row r="58">
      <c r="A58" s="13" t="inlineStr">
        <is>
          <t>Di. RA 70</t>
        </is>
      </c>
      <c r="B58" s="14" t="n">
        <v>23.25</v>
      </c>
      <c r="C58" s="14" t="n">
        <v>1719807</v>
      </c>
      <c r="D58" s="15" t="n"/>
      <c r="E58" s="15" t="n"/>
      <c r="F58" s="15" t="n"/>
      <c r="G58" s="15" t="n"/>
      <c r="H58" s="14" t="n">
        <v>37.77</v>
      </c>
      <c r="I58" s="14" t="n">
        <v>2783261</v>
      </c>
      <c r="J58" s="15" t="n"/>
      <c r="K58" s="15" t="n"/>
      <c r="L58" s="14" t="n">
        <v>37.77</v>
      </c>
      <c r="M58" s="14" t="n">
        <v>2783261</v>
      </c>
      <c r="N58" s="14" t="n">
        <v>61.02</v>
      </c>
      <c r="O58" s="14" t="n">
        <v>4503068</v>
      </c>
      <c r="P58" s="14" t="n">
        <v>73797</v>
      </c>
      <c r="Q58" s="15" t="n"/>
      <c r="R58" s="15" t="n"/>
      <c r="S58" s="15" t="n"/>
      <c r="T58" s="15" t="n"/>
      <c r="U58" s="15" t="n"/>
      <c r="V58" s="15" t="n"/>
      <c r="W58" s="15" t="n"/>
      <c r="X58" s="15" t="n"/>
      <c r="Y58" s="14" t="n">
        <v>40.37</v>
      </c>
      <c r="Z58" s="14" t="n">
        <v>3468152</v>
      </c>
      <c r="AA58" s="14" t="n">
        <v>20.65</v>
      </c>
      <c r="AB58" s="14" t="n">
        <v>1523900</v>
      </c>
      <c r="AC58" s="14" t="n">
        <v>488983</v>
      </c>
      <c r="AD58" s="16" t="n">
        <v>0.141</v>
      </c>
      <c r="AE58" s="15" t="n"/>
      <c r="AF58" s="15" t="n"/>
      <c r="AG58" s="15" t="n"/>
      <c r="AH58" s="15" t="n"/>
      <c r="AI58" s="15" t="n"/>
    </row>
    <row r="59">
      <c r="A59" s="13" t="inlineStr">
        <is>
          <t>Di. RA 80</t>
        </is>
      </c>
      <c r="B59" s="14" t="n">
        <v>2.96</v>
      </c>
      <c r="C59" s="14" t="n">
        <v>210604</v>
      </c>
      <c r="D59" s="15" t="n"/>
      <c r="E59" s="15" t="n"/>
      <c r="F59" s="15" t="n"/>
      <c r="G59" s="15" t="n"/>
      <c r="H59" s="14" t="n">
        <v>25.73</v>
      </c>
      <c r="I59" s="14" t="n">
        <v>2158876</v>
      </c>
      <c r="J59" s="15" t="n"/>
      <c r="K59" s="15" t="n"/>
      <c r="L59" s="14" t="n">
        <v>25.73</v>
      </c>
      <c r="M59" s="14" t="n">
        <v>2158876</v>
      </c>
      <c r="N59" s="14" t="n">
        <v>28.69</v>
      </c>
      <c r="O59" s="14" t="n">
        <v>2369480</v>
      </c>
      <c r="P59" s="14" t="n">
        <v>82589</v>
      </c>
      <c r="Q59" s="15" t="n"/>
      <c r="R59" s="15" t="n"/>
      <c r="S59" s="15" t="n"/>
      <c r="T59" s="15" t="n"/>
      <c r="U59" s="15" t="n"/>
      <c r="V59" s="15" t="n"/>
      <c r="W59" s="15" t="n"/>
      <c r="X59" s="15" t="n"/>
      <c r="Y59" s="14" t="n">
        <v>12.25</v>
      </c>
      <c r="Z59" s="14" t="n">
        <v>1295677</v>
      </c>
      <c r="AA59" s="14" t="n">
        <v>16.44</v>
      </c>
      <c r="AB59" s="14" t="n">
        <v>1357764</v>
      </c>
      <c r="AC59" s="14" t="n">
        <v>283961</v>
      </c>
      <c r="AD59" s="16" t="n">
        <v>0.2192</v>
      </c>
      <c r="AE59" s="15" t="n"/>
      <c r="AF59" s="15" t="n"/>
      <c r="AG59" s="15" t="n"/>
      <c r="AH59" s="15" t="n"/>
      <c r="AI59" s="15" t="n"/>
    </row>
    <row r="60">
      <c r="A60" s="13" t="inlineStr">
        <is>
          <t>Di. RA 90</t>
        </is>
      </c>
      <c r="B60" s="14" t="n">
        <v>12.34</v>
      </c>
      <c r="C60" s="14" t="n">
        <v>1203263</v>
      </c>
      <c r="D60" s="15" t="n"/>
      <c r="E60" s="15" t="n"/>
      <c r="F60" s="15" t="n"/>
      <c r="G60" s="15" t="n"/>
      <c r="H60" s="14" t="n">
        <v>1.75</v>
      </c>
      <c r="I60" s="14" t="n">
        <v>166337</v>
      </c>
      <c r="J60" s="15" t="n"/>
      <c r="K60" s="15" t="n"/>
      <c r="L60" s="14" t="n">
        <v>1.75</v>
      </c>
      <c r="M60" s="14" t="n">
        <v>166337</v>
      </c>
      <c r="N60" s="14" t="n">
        <v>14.09</v>
      </c>
      <c r="O60" s="14" t="n">
        <v>1369600</v>
      </c>
      <c r="P60" s="14" t="n">
        <v>97204</v>
      </c>
      <c r="Q60" s="15" t="n"/>
      <c r="R60" s="15" t="n"/>
      <c r="S60" s="15" t="n"/>
      <c r="T60" s="15" t="n"/>
      <c r="U60" s="15" t="n"/>
      <c r="V60" s="15" t="n"/>
      <c r="W60" s="15" t="n"/>
      <c r="X60" s="15" t="n"/>
      <c r="Y60" s="14" t="n">
        <v>12.28</v>
      </c>
      <c r="Z60" s="14" t="n">
        <v>1372567</v>
      </c>
      <c r="AA60" s="14" t="n">
        <v>1.81</v>
      </c>
      <c r="AB60" s="14" t="n">
        <v>175939</v>
      </c>
      <c r="AC60" s="14" t="n">
        <v>178906</v>
      </c>
      <c r="AD60" s="16" t="n">
        <v>0.1303</v>
      </c>
      <c r="AE60" s="15" t="n"/>
      <c r="AF60" s="15" t="n"/>
      <c r="AG60" s="15" t="n"/>
      <c r="AH60" s="15" t="n"/>
      <c r="AI60" s="15" t="n"/>
    </row>
    <row r="61">
      <c r="A61" s="13" t="inlineStr">
        <is>
          <t>Di. RA 100</t>
        </is>
      </c>
      <c r="B61" s="14" t="n">
        <v>5.03</v>
      </c>
      <c r="C61" s="14" t="n">
        <v>541331</v>
      </c>
      <c r="D61" s="15" t="n"/>
      <c r="E61" s="15" t="n"/>
      <c r="F61" s="15" t="n"/>
      <c r="G61" s="15" t="n"/>
      <c r="H61" s="14" t="n">
        <v>16.15</v>
      </c>
      <c r="I61" s="14" t="n">
        <v>1699280</v>
      </c>
      <c r="J61" s="15" t="n"/>
      <c r="K61" s="15" t="n"/>
      <c r="L61" s="14" t="n">
        <v>16.15</v>
      </c>
      <c r="M61" s="14" t="n">
        <v>1699280</v>
      </c>
      <c r="N61" s="14" t="n">
        <v>21.18</v>
      </c>
      <c r="O61" s="14" t="n">
        <v>2240611</v>
      </c>
      <c r="P61" s="14" t="n">
        <v>105789</v>
      </c>
      <c r="Q61" s="15" t="n"/>
      <c r="R61" s="15" t="n"/>
      <c r="S61" s="15" t="n"/>
      <c r="T61" s="15" t="n"/>
      <c r="U61" s="15" t="n"/>
      <c r="V61" s="15" t="n"/>
      <c r="W61" s="15" t="n"/>
      <c r="X61" s="15" t="n"/>
      <c r="Y61" s="14" t="n">
        <v>15.45</v>
      </c>
      <c r="Z61" s="14" t="n">
        <v>1844860</v>
      </c>
      <c r="AA61" s="14" t="n">
        <v>5.73</v>
      </c>
      <c r="AB61" s="14" t="n">
        <v>606171</v>
      </c>
      <c r="AC61" s="14" t="n">
        <v>210420</v>
      </c>
      <c r="AD61" s="16" t="n">
        <v>0.1141</v>
      </c>
      <c r="AE61" s="15" t="n"/>
      <c r="AF61" s="15" t="n"/>
      <c r="AG61" s="15" t="n"/>
      <c r="AH61" s="15" t="n"/>
      <c r="AI61" s="15" t="n"/>
    </row>
    <row r="62">
      <c r="A62" s="13" t="inlineStr">
        <is>
          <t>Di. RA 110</t>
        </is>
      </c>
      <c r="B62" s="14" t="n">
        <v>4.04</v>
      </c>
      <c r="C62" s="14" t="n">
        <v>470180</v>
      </c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4" t="n">
        <v>4.04</v>
      </c>
      <c r="O62" s="14" t="n">
        <v>470180</v>
      </c>
      <c r="P62" s="14" t="n">
        <v>116381</v>
      </c>
      <c r="Q62" s="15" t="n"/>
      <c r="R62" s="15" t="n"/>
      <c r="S62" s="15" t="n"/>
      <c r="T62" s="15" t="n"/>
      <c r="U62" s="15" t="n"/>
      <c r="V62" s="15" t="n"/>
      <c r="W62" s="15" t="n"/>
      <c r="X62" s="15" t="n"/>
      <c r="Y62" s="14" t="n">
        <v>4.04</v>
      </c>
      <c r="Z62" s="14" t="n">
        <v>593590</v>
      </c>
      <c r="AA62" s="14" t="n">
        <v>0</v>
      </c>
      <c r="AB62" s="14" t="n">
        <v>0</v>
      </c>
      <c r="AC62" s="14" t="n">
        <v>123410</v>
      </c>
      <c r="AD62" s="16" t="n">
        <v>0.2079</v>
      </c>
      <c r="AE62" s="15" t="n"/>
      <c r="AF62" s="15" t="n"/>
      <c r="AG62" s="15" t="n"/>
      <c r="AH62" s="15" t="n"/>
      <c r="AI62" s="15" t="n"/>
    </row>
    <row r="63">
      <c r="A63" s="13" t="inlineStr">
        <is>
          <t>Di. RA 120</t>
        </is>
      </c>
      <c r="B63" s="14" t="n">
        <v>0.07000000000000001</v>
      </c>
      <c r="C63" s="14" t="n">
        <v>8795</v>
      </c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4" t="n">
        <v>0.07000000000000001</v>
      </c>
      <c r="O63" s="14" t="n">
        <v>8795</v>
      </c>
      <c r="P63" s="14" t="n">
        <v>125643</v>
      </c>
      <c r="Q63" s="15" t="n"/>
      <c r="R63" s="15" t="n"/>
      <c r="S63" s="15" t="n"/>
      <c r="T63" s="15" t="n"/>
      <c r="U63" s="15" t="n"/>
      <c r="V63" s="15" t="n"/>
      <c r="W63" s="15" t="n"/>
      <c r="X63" s="15" t="n"/>
      <c r="Y63" s="14" t="n">
        <v>0.07000000000000001</v>
      </c>
      <c r="Z63" s="14" t="n">
        <v>10080</v>
      </c>
      <c r="AA63" s="14" t="n">
        <v>0</v>
      </c>
      <c r="AB63" s="14" t="n">
        <v>0</v>
      </c>
      <c r="AC63" s="14" t="n">
        <v>1285</v>
      </c>
      <c r="AD63" s="16" t="n">
        <v>0.1275</v>
      </c>
      <c r="AE63" s="15" t="n"/>
      <c r="AF63" s="15" t="n"/>
      <c r="AG63" s="15" t="n"/>
      <c r="AH63" s="15" t="n"/>
      <c r="AI63" s="15" t="n"/>
    </row>
    <row r="64">
      <c r="A64" s="13" t="inlineStr">
        <is>
          <t>SD Di. 225</t>
        </is>
      </c>
      <c r="B64" s="14" t="n">
        <v>0.16</v>
      </c>
      <c r="C64" s="14" t="n">
        <v>38355</v>
      </c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4" t="n">
        <v>0.16</v>
      </c>
      <c r="O64" s="14" t="n">
        <v>38355</v>
      </c>
      <c r="P64" s="14" t="n">
        <v>239719</v>
      </c>
      <c r="Q64" s="15" t="n"/>
      <c r="R64" s="15" t="n"/>
      <c r="S64" s="15" t="n"/>
      <c r="T64" s="15" t="n"/>
      <c r="U64" s="15" t="n"/>
      <c r="V64" s="15" t="n"/>
      <c r="W64" s="15" t="n"/>
      <c r="X64" s="15" t="n"/>
      <c r="Y64" s="14" t="n">
        <v>0.16</v>
      </c>
      <c r="Z64" s="14" t="n">
        <v>38000</v>
      </c>
      <c r="AA64" s="14" t="n">
        <v>0</v>
      </c>
      <c r="AB64" s="14" t="n">
        <v>0</v>
      </c>
      <c r="AC64" s="14" t="n">
        <v>-355</v>
      </c>
      <c r="AD64" s="16" t="n">
        <v>0</v>
      </c>
      <c r="AE64" s="15" t="n"/>
      <c r="AF64" s="15" t="n"/>
      <c r="AG64" s="15" t="n"/>
      <c r="AH64" s="15" t="n"/>
      <c r="AI64" s="15" t="n"/>
    </row>
    <row r="65">
      <c r="A65" s="13" t="inlineStr">
        <is>
          <t>SD Di. 250</t>
        </is>
      </c>
      <c r="B65" s="14" t="n">
        <v>0.36</v>
      </c>
      <c r="C65" s="14" t="n">
        <v>101803</v>
      </c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4" t="n">
        <v>0.36</v>
      </c>
      <c r="O65" s="14" t="n">
        <v>101803</v>
      </c>
      <c r="P65" s="14" t="n">
        <v>282786</v>
      </c>
      <c r="Q65" s="15" t="n"/>
      <c r="R65" s="15" t="n"/>
      <c r="S65" s="15" t="n"/>
      <c r="T65" s="15" t="n"/>
      <c r="U65" s="15" t="n"/>
      <c r="V65" s="15" t="n"/>
      <c r="W65" s="15" t="n"/>
      <c r="X65" s="15" t="n"/>
      <c r="Y65" s="14" t="n">
        <v>0.36</v>
      </c>
      <c r="Z65" s="14" t="n">
        <v>99000</v>
      </c>
      <c r="AA65" s="14" t="n">
        <v>0</v>
      </c>
      <c r="AB65" s="14" t="n">
        <v>0</v>
      </c>
      <c r="AC65" s="14" t="n">
        <v>-2803</v>
      </c>
      <c r="AD65" s="16" t="n">
        <v>0</v>
      </c>
      <c r="AE65" s="15" t="n"/>
      <c r="AF65" s="15" t="n"/>
      <c r="AG65" s="15" t="n"/>
      <c r="AH65" s="15" t="n"/>
      <c r="AI65" s="15" t="n"/>
    </row>
    <row r="66">
      <c r="A66" s="13" t="inlineStr">
        <is>
          <t>SD Di. Mix</t>
        </is>
      </c>
      <c r="B66" s="14" t="n">
        <v>0</v>
      </c>
      <c r="C66" s="15" t="n"/>
      <c r="D66" s="15" t="n"/>
      <c r="E66" s="15" t="n"/>
      <c r="F66" s="15" t="n"/>
      <c r="G66" s="15" t="n"/>
      <c r="H66" s="14" t="n">
        <v>11.3</v>
      </c>
      <c r="I66" s="14" t="n">
        <v>7705491</v>
      </c>
      <c r="J66" s="15" t="n"/>
      <c r="K66" s="15" t="n"/>
      <c r="L66" s="14" t="n">
        <v>11.3</v>
      </c>
      <c r="M66" s="14" t="n">
        <v>7705491</v>
      </c>
      <c r="N66" s="14" t="n">
        <v>11.3</v>
      </c>
      <c r="O66" s="14" t="n">
        <v>7705491</v>
      </c>
      <c r="P66" s="14" t="n">
        <v>681902</v>
      </c>
      <c r="Q66" s="15" t="n"/>
      <c r="R66" s="15" t="n"/>
      <c r="S66" s="15" t="n"/>
      <c r="T66" s="15" t="n"/>
      <c r="U66" s="15" t="n"/>
      <c r="V66" s="15" t="n"/>
      <c r="W66" s="15" t="n"/>
      <c r="X66" s="15" t="n"/>
      <c r="Y66" s="14" t="n">
        <v>11.3</v>
      </c>
      <c r="Z66" s="14" t="n">
        <v>5958282</v>
      </c>
      <c r="AA66" s="14" t="n">
        <v>0</v>
      </c>
      <c r="AB66" s="14" t="n">
        <v>0</v>
      </c>
      <c r="AC66" s="14" t="n">
        <v>-1747209</v>
      </c>
      <c r="AD66" s="16" t="n">
        <v>0</v>
      </c>
      <c r="AE66" s="15" t="n"/>
      <c r="AF66" s="15" t="n"/>
      <c r="AG66" s="15" t="n"/>
      <c r="AH66" s="15" t="n"/>
      <c r="AI66" s="15" t="n"/>
    </row>
    <row r="67">
      <c r="A67" s="17" t="inlineStr">
        <is>
          <t>TOTAL</t>
        </is>
      </c>
      <c r="B67" s="18" t="n">
        <v>5102.514999999999</v>
      </c>
      <c r="C67" s="18" t="n">
        <v>156010966</v>
      </c>
      <c r="D67" s="18">
        <f>SUM(D48:D66)</f>
        <v/>
      </c>
      <c r="E67" s="18">
        <f>SUM(E48:E66)</f>
        <v/>
      </c>
      <c r="F67" s="18">
        <f>SUM(F48:F66)</f>
        <v/>
      </c>
      <c r="G67" s="18">
        <f>SUM(G48:G66)</f>
        <v/>
      </c>
      <c r="H67" s="18" t="n">
        <v>3083.92</v>
      </c>
      <c r="I67" s="18" t="n">
        <v>72239893</v>
      </c>
      <c r="J67" s="18">
        <f>SUM(J48:J66)</f>
        <v/>
      </c>
      <c r="K67" s="18">
        <f>SUM(K48:K66)</f>
        <v/>
      </c>
      <c r="L67" s="18" t="n">
        <v>3083.92</v>
      </c>
      <c r="M67" s="18" t="n">
        <v>72239893</v>
      </c>
      <c r="N67" s="18" t="n">
        <v>8186.435</v>
      </c>
      <c r="O67" s="18" t="n">
        <v>228250859</v>
      </c>
      <c r="P67" s="18" t="n">
        <v>27882</v>
      </c>
      <c r="Q67" s="18">
        <f>SUM(Q48:Q66)</f>
        <v/>
      </c>
      <c r="R67" s="18">
        <f>SUM(R48:R66)</f>
        <v/>
      </c>
      <c r="S67" s="18">
        <f>SUM(S48:S66)</f>
        <v/>
      </c>
      <c r="T67" s="18">
        <f>SUM(T48:T66)</f>
        <v/>
      </c>
      <c r="U67" s="18">
        <f>SUM(U48:U66)</f>
        <v/>
      </c>
      <c r="V67" s="18">
        <f>SUM(V48:V66)</f>
        <v/>
      </c>
      <c r="W67" s="18">
        <f>SUM(W48:W66)</f>
        <v/>
      </c>
      <c r="X67" s="18">
        <f>SUM(X48:X66)</f>
        <v/>
      </c>
      <c r="Y67" s="18" t="n">
        <v>1992.035</v>
      </c>
      <c r="Z67" s="18" t="n">
        <v>80532205</v>
      </c>
      <c r="AA67" s="18" t="n">
        <v>6194.399999999999</v>
      </c>
      <c r="AB67" s="18" t="n">
        <v>156465718</v>
      </c>
      <c r="AC67" s="18" t="n">
        <v>8747065</v>
      </c>
      <c r="AD67" s="19" t="n">
        <v>0.1086</v>
      </c>
      <c r="AE67" s="18">
        <f>SUM(AE48:AE66)</f>
        <v/>
      </c>
      <c r="AF67" s="18">
        <f>SUM(AF48:AF66)</f>
        <v/>
      </c>
      <c r="AG67" s="18">
        <f>SUM(AG48:AG66)</f>
        <v/>
      </c>
      <c r="AH67" s="18">
        <f>SUM(AH48:AH66)</f>
        <v/>
      </c>
      <c r="AI67" s="20" t="n"/>
    </row>
    <row r="68">
      <c r="A68" s="21" t="inlineStr">
        <is>
          <t>GRAND TOTAL</t>
        </is>
      </c>
      <c r="B68" s="22" t="n">
        <v>7105.459999999998</v>
      </c>
      <c r="C68" s="22" t="n">
        <v>171504492</v>
      </c>
      <c r="D68" s="22">
        <f>SUM(D11:D66)</f>
        <v/>
      </c>
      <c r="E68" s="22">
        <f>SUM(E11:E66)</f>
        <v/>
      </c>
      <c r="F68" s="22">
        <f>SUM(F11:F66)</f>
        <v/>
      </c>
      <c r="G68" s="22">
        <f>SUM(G11:G66)</f>
        <v/>
      </c>
      <c r="H68" s="22" t="n">
        <v>3405.99</v>
      </c>
      <c r="I68" s="22" t="n">
        <v>76604033</v>
      </c>
      <c r="J68" s="22">
        <f>SUM(J11:J66)</f>
        <v/>
      </c>
      <c r="K68" s="22">
        <f>SUM(K11:K66)</f>
        <v/>
      </c>
      <c r="L68" s="22" t="n">
        <v>3405.99</v>
      </c>
      <c r="M68" s="22" t="n">
        <v>76604033</v>
      </c>
      <c r="N68" s="22" t="n">
        <v>10511.45</v>
      </c>
      <c r="O68" s="22" t="n">
        <v>248108525</v>
      </c>
      <c r="P68" s="22" t="n">
        <v>23604</v>
      </c>
      <c r="Q68" s="22">
        <f>SUM(Q11:Q66)</f>
        <v/>
      </c>
      <c r="R68" s="22">
        <f>SUM(R11:R66)</f>
        <v/>
      </c>
      <c r="S68" s="22" t="n">
        <v>588.73</v>
      </c>
      <c r="T68" s="22" t="n">
        <v>2476625</v>
      </c>
      <c r="U68" s="22">
        <f>SUM(U11:U66)</f>
        <v/>
      </c>
      <c r="V68" s="22">
        <f>SUM(V11:V66)</f>
        <v/>
      </c>
      <c r="W68" s="22" t="n">
        <v>588.73</v>
      </c>
      <c r="X68" s="22" t="n">
        <v>2476625</v>
      </c>
      <c r="Y68" s="22" t="n">
        <v>2541.525</v>
      </c>
      <c r="Z68" s="22" t="n">
        <v>88687795</v>
      </c>
      <c r="AA68" s="22" t="n">
        <v>7381.194999999999</v>
      </c>
      <c r="AB68" s="22" t="n">
        <v>167774022</v>
      </c>
      <c r="AC68" s="22" t="n">
        <v>10829916</v>
      </c>
      <c r="AD68" s="23" t="n">
        <v>0.1221</v>
      </c>
      <c r="AE68" s="22">
        <f>SUM(AE11:AE66)</f>
        <v/>
      </c>
      <c r="AF68" s="22">
        <f>SUM(AF11:AF66)</f>
        <v/>
      </c>
      <c r="AG68" s="22">
        <f>SUM(AG11:AG66)</f>
        <v/>
      </c>
      <c r="AH68" s="22">
        <f>SUM(AH11:AH66)</f>
        <v/>
      </c>
      <c r="AI68" s="24" t="n"/>
    </row>
  </sheetData>
  <mergeCells count="23">
    <mergeCell ref="Q7:R7"/>
    <mergeCell ref="L7:M7"/>
    <mergeCell ref="F6:M6"/>
    <mergeCell ref="F7:G7"/>
    <mergeCell ref="D6:E6"/>
    <mergeCell ref="AA6:AB6"/>
    <mergeCell ref="S7:T7"/>
    <mergeCell ref="A1:AI1"/>
    <mergeCell ref="A6:A9"/>
    <mergeCell ref="U7:V7"/>
    <mergeCell ref="W7:X7"/>
    <mergeCell ref="H7:I7"/>
    <mergeCell ref="Q6:X6"/>
    <mergeCell ref="J7:K7"/>
    <mergeCell ref="Y6:Z6"/>
    <mergeCell ref="A3:AI3"/>
    <mergeCell ref="A2:AI2"/>
    <mergeCell ref="B6:C6"/>
    <mergeCell ref="AC6:AD6"/>
    <mergeCell ref="N6:O6"/>
    <mergeCell ref="AE6:AF6"/>
    <mergeCell ref="A4:AI4"/>
    <mergeCell ref="AG6:AI6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61"/>
  <sheetViews>
    <sheetView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</cols>
  <sheetData>
    <row r="1" ht="22" customHeight="1">
      <c r="A1" s="1" t="inlineStr">
        <is>
          <t>Company Name</t>
        </is>
      </c>
    </row>
    <row r="2">
      <c r="A2" s="2" t="inlineStr">
        <is>
          <t>Address</t>
        </is>
      </c>
    </row>
    <row r="3">
      <c r="A3" s="2" t="inlineStr">
        <is>
          <t>Financial Year: AY 2025-26</t>
        </is>
      </c>
    </row>
    <row r="4" ht="20" customHeight="1">
      <c r="A4" s="3" t="inlineStr">
        <is>
          <t>DETAILS OF JEWELS CLOSING STOCK - EMERALD</t>
        </is>
      </c>
    </row>
    <row r="6" ht="28" customHeight="1">
      <c r="A6" s="4" t="inlineStr">
        <is>
          <t>Particulars / Product</t>
        </is>
      </c>
      <c r="B6" s="4" t="inlineStr">
        <is>
          <t>Opening Stock</t>
        </is>
      </c>
      <c r="C6" s="5" t="n"/>
      <c r="D6" s="4" t="inlineStr">
        <is>
          <t>Purchases</t>
        </is>
      </c>
      <c r="E6" s="5" t="n"/>
      <c r="F6" s="4" t="inlineStr">
        <is>
          <t>Receipts</t>
        </is>
      </c>
      <c r="G6" s="5" t="n"/>
      <c r="H6" s="5" t="n"/>
      <c r="I6" s="5" t="n"/>
      <c r="J6" s="5" t="n"/>
      <c r="K6" s="5" t="n"/>
      <c r="L6" s="5" t="n"/>
      <c r="M6" s="5" t="n"/>
      <c r="N6" s="4" t="inlineStr">
        <is>
          <t>Total</t>
        </is>
      </c>
      <c r="O6" s="5" t="n"/>
      <c r="P6" s="4" t="inlineStr">
        <is>
          <t>Average Rate</t>
        </is>
      </c>
      <c r="Q6" s="4" t="inlineStr">
        <is>
          <t>Issues</t>
        </is>
      </c>
      <c r="R6" s="5" t="n"/>
      <c r="S6" s="5" t="n"/>
      <c r="T6" s="5" t="n"/>
      <c r="U6" s="5" t="n"/>
      <c r="V6" s="5" t="n"/>
      <c r="W6" s="5" t="n"/>
      <c r="X6" s="5" t="n"/>
      <c r="Y6" s="4" t="inlineStr">
        <is>
          <t>Sales</t>
        </is>
      </c>
      <c r="Z6" s="5" t="n"/>
      <c r="AA6" s="4" t="inlineStr">
        <is>
          <t>Closing Stock</t>
        </is>
      </c>
      <c r="AB6" s="5" t="n"/>
      <c r="AC6" s="4" t="inlineStr">
        <is>
          <t>Gross Profit</t>
        </is>
      </c>
      <c r="AD6" s="5" t="n"/>
      <c r="AE6" s="4" t="inlineStr">
        <is>
          <t>GP AY 2025-26</t>
        </is>
      </c>
      <c r="AF6" s="5" t="n"/>
      <c r="AG6" s="4" t="inlineStr">
        <is>
          <t>Deviation</t>
        </is>
      </c>
      <c r="AH6" s="5" t="n"/>
      <c r="AI6" s="5" t="n"/>
    </row>
    <row r="7" ht="28" customHeight="1">
      <c r="A7" s="6" t="n"/>
      <c r="B7" s="7" t="inlineStr"/>
      <c r="C7" s="7" t="inlineStr"/>
      <c r="D7" s="7" t="inlineStr"/>
      <c r="E7" s="7" t="inlineStr"/>
      <c r="F7" s="8" t="inlineStr">
        <is>
          <t>Internal Stock Transfer</t>
        </is>
      </c>
      <c r="G7" s="7" t="n"/>
      <c r="H7" s="8" t="inlineStr">
        <is>
          <t>Jubilee Hills</t>
        </is>
      </c>
      <c r="I7" s="7" t="n"/>
      <c r="J7" s="8" t="inlineStr">
        <is>
          <t>Kokapet</t>
        </is>
      </c>
      <c r="K7" s="7" t="n"/>
      <c r="L7" s="8" t="inlineStr">
        <is>
          <t>Receipts</t>
        </is>
      </c>
      <c r="M7" s="7" t="n"/>
      <c r="N7" s="7" t="inlineStr"/>
      <c r="O7" s="7" t="inlineStr"/>
      <c r="P7" s="7" t="inlineStr"/>
      <c r="Q7" s="8" t="inlineStr">
        <is>
          <t>Internal Stock Transfer</t>
        </is>
      </c>
      <c r="R7" s="7" t="n"/>
      <c r="S7" s="8" t="inlineStr">
        <is>
          <t>Jubilee Hills</t>
        </is>
      </c>
      <c r="T7" s="7" t="n"/>
      <c r="U7" s="8" t="inlineStr">
        <is>
          <t>Kokapet</t>
        </is>
      </c>
      <c r="V7" s="7" t="n"/>
      <c r="W7" s="8" t="inlineStr">
        <is>
          <t>Total</t>
        </is>
      </c>
      <c r="X7" s="7" t="n"/>
      <c r="Y7" s="7" t="inlineStr"/>
      <c r="Z7" s="7" t="inlineStr"/>
      <c r="AA7" s="7" t="inlineStr"/>
      <c r="AB7" s="7" t="inlineStr"/>
      <c r="AC7" s="7" t="inlineStr"/>
      <c r="AD7" s="7" t="inlineStr"/>
      <c r="AE7" s="7" t="inlineStr"/>
      <c r="AF7" s="7" t="inlineStr"/>
      <c r="AG7" s="7" t="inlineStr"/>
      <c r="AH7" s="7" t="inlineStr"/>
      <c r="AI7" s="7" t="inlineStr"/>
    </row>
    <row r="8" ht="28" customHeight="1">
      <c r="A8" s="6" t="n"/>
      <c r="B8" s="9" t="inlineStr">
        <is>
          <t>Qty</t>
        </is>
      </c>
      <c r="C8" s="9" t="inlineStr">
        <is>
          <t>Amt.</t>
        </is>
      </c>
      <c r="D8" s="9" t="inlineStr">
        <is>
          <t>Qty</t>
        </is>
      </c>
      <c r="E8" s="9" t="inlineStr">
        <is>
          <t>Amt.</t>
        </is>
      </c>
      <c r="F8" s="9" t="inlineStr">
        <is>
          <t>Qty</t>
        </is>
      </c>
      <c r="G8" s="9" t="inlineStr">
        <is>
          <t>Amt.</t>
        </is>
      </c>
      <c r="H8" s="9" t="inlineStr">
        <is>
          <t>Qty</t>
        </is>
      </c>
      <c r="I8" s="9" t="inlineStr">
        <is>
          <t>Amt.</t>
        </is>
      </c>
      <c r="J8" s="9" t="inlineStr">
        <is>
          <t>Qty</t>
        </is>
      </c>
      <c r="K8" s="9" t="inlineStr">
        <is>
          <t>Amt.</t>
        </is>
      </c>
      <c r="L8" s="9" t="inlineStr">
        <is>
          <t>Qty</t>
        </is>
      </c>
      <c r="M8" s="9" t="inlineStr">
        <is>
          <t>Amt.</t>
        </is>
      </c>
      <c r="N8" s="9" t="inlineStr">
        <is>
          <t>Qty</t>
        </is>
      </c>
      <c r="O8" s="9" t="inlineStr">
        <is>
          <t>Amt.</t>
        </is>
      </c>
      <c r="P8" s="9" t="inlineStr">
        <is>
          <t>Amt.</t>
        </is>
      </c>
      <c r="Q8" s="9" t="inlineStr">
        <is>
          <t>Qty</t>
        </is>
      </c>
      <c r="R8" s="9" t="inlineStr">
        <is>
          <t>Amt.</t>
        </is>
      </c>
      <c r="S8" s="9" t="inlineStr">
        <is>
          <t>Qty</t>
        </is>
      </c>
      <c r="T8" s="9" t="inlineStr">
        <is>
          <t>Amt.</t>
        </is>
      </c>
      <c r="U8" s="9" t="inlineStr">
        <is>
          <t>Qty</t>
        </is>
      </c>
      <c r="V8" s="9" t="inlineStr">
        <is>
          <t>Amt.</t>
        </is>
      </c>
      <c r="W8" s="9" t="inlineStr">
        <is>
          <t>Qty</t>
        </is>
      </c>
      <c r="X8" s="9" t="inlineStr">
        <is>
          <t>Amt.</t>
        </is>
      </c>
      <c r="Y8" s="9" t="inlineStr">
        <is>
          <t>Qty</t>
        </is>
      </c>
      <c r="Z8" s="9" t="inlineStr">
        <is>
          <t>Amt.</t>
        </is>
      </c>
      <c r="AA8" s="9" t="inlineStr">
        <is>
          <t>Qty</t>
        </is>
      </c>
      <c r="AB8" s="9" t="inlineStr">
        <is>
          <t>Amt.</t>
        </is>
      </c>
      <c r="AC8" s="9" t="inlineStr">
        <is>
          <t>Amt.</t>
        </is>
      </c>
      <c r="AD8" s="9" t="inlineStr">
        <is>
          <t>%</t>
        </is>
      </c>
      <c r="AE8" s="9" t="inlineStr">
        <is>
          <t>Qty</t>
        </is>
      </c>
      <c r="AF8" s="9" t="inlineStr">
        <is>
          <t>Amt.</t>
        </is>
      </c>
      <c r="AG8" s="9" t="inlineStr">
        <is>
          <t>Qty</t>
        </is>
      </c>
      <c r="AH8" s="9" t="inlineStr">
        <is>
          <t>Amt.</t>
        </is>
      </c>
      <c r="AI8" s="9" t="inlineStr">
        <is>
          <t>%</t>
        </is>
      </c>
    </row>
    <row r="9" ht="28" customHeight="1">
      <c r="A9" s="6" t="n"/>
      <c r="B9" s="10" t="inlineStr">
        <is>
          <t>1</t>
        </is>
      </c>
      <c r="C9" s="10" t="inlineStr">
        <is>
          <t>2</t>
        </is>
      </c>
      <c r="D9" s="10" t="inlineStr">
        <is>
          <t>3</t>
        </is>
      </c>
      <c r="E9" s="10" t="inlineStr">
        <is>
          <t>4</t>
        </is>
      </c>
      <c r="F9" s="10" t="inlineStr">
        <is>
          <t>5</t>
        </is>
      </c>
      <c r="G9" s="10" t="inlineStr">
        <is>
          <t>6</t>
        </is>
      </c>
      <c r="H9" s="10" t="inlineStr">
        <is>
          <t>7</t>
        </is>
      </c>
      <c r="I9" s="10" t="inlineStr">
        <is>
          <t>8</t>
        </is>
      </c>
      <c r="J9" s="10" t="inlineStr">
        <is>
          <t>9</t>
        </is>
      </c>
      <c r="K9" s="10" t="inlineStr">
        <is>
          <t>10</t>
        </is>
      </c>
      <c r="L9" s="10" t="inlineStr">
        <is>
          <t>11</t>
        </is>
      </c>
      <c r="M9" s="10" t="inlineStr">
        <is>
          <t>12</t>
        </is>
      </c>
      <c r="N9" s="10" t="inlineStr">
        <is>
          <t>13</t>
        </is>
      </c>
      <c r="O9" s="10" t="inlineStr">
        <is>
          <t>14</t>
        </is>
      </c>
      <c r="P9" s="10" t="inlineStr">
        <is>
          <t>15</t>
        </is>
      </c>
      <c r="Q9" s="10" t="inlineStr">
        <is>
          <t>16</t>
        </is>
      </c>
      <c r="R9" s="10" t="inlineStr">
        <is>
          <t>17</t>
        </is>
      </c>
      <c r="S9" s="10" t="inlineStr">
        <is>
          <t>18</t>
        </is>
      </c>
      <c r="T9" s="10" t="inlineStr">
        <is>
          <t>19</t>
        </is>
      </c>
      <c r="U9" s="10" t="inlineStr">
        <is>
          <t>20</t>
        </is>
      </c>
      <c r="V9" s="10" t="inlineStr">
        <is>
          <t>21</t>
        </is>
      </c>
      <c r="W9" s="10" t="inlineStr">
        <is>
          <t>22</t>
        </is>
      </c>
      <c r="X9" s="10" t="inlineStr">
        <is>
          <t>23</t>
        </is>
      </c>
      <c r="Y9" s="10" t="inlineStr">
        <is>
          <t>24</t>
        </is>
      </c>
      <c r="Z9" s="10" t="inlineStr">
        <is>
          <t>25</t>
        </is>
      </c>
      <c r="AA9" s="10" t="inlineStr">
        <is>
          <t>26</t>
        </is>
      </c>
      <c r="AB9" s="10" t="inlineStr">
        <is>
          <t>27</t>
        </is>
      </c>
      <c r="AC9" s="10" t="inlineStr">
        <is>
          <t>28</t>
        </is>
      </c>
      <c r="AD9" s="10" t="inlineStr">
        <is>
          <t>29</t>
        </is>
      </c>
      <c r="AE9" s="10" t="inlineStr">
        <is>
          <t>30</t>
        </is>
      </c>
      <c r="AF9" s="10" t="inlineStr">
        <is>
          <t>31</t>
        </is>
      </c>
      <c r="AG9" s="10" t="inlineStr">
        <is>
          <t>32</t>
        </is>
      </c>
      <c r="AH9" s="10" t="inlineStr">
        <is>
          <t>33</t>
        </is>
      </c>
      <c r="AI9" s="10" t="inlineStr">
        <is>
          <t>34</t>
        </is>
      </c>
    </row>
    <row r="10">
      <c r="A10" s="13" t="inlineStr">
        <is>
          <t>Emeralds JEM 50</t>
        </is>
      </c>
      <c r="B10" s="14" t="n">
        <v>2688.45</v>
      </c>
      <c r="C10" s="14" t="n">
        <v>57193</v>
      </c>
      <c r="D10" s="15" t="n"/>
      <c r="E10" s="15" t="n"/>
      <c r="F10" s="15" t="n"/>
      <c r="G10" s="15" t="n"/>
      <c r="H10" s="14" t="n">
        <v>6545.27</v>
      </c>
      <c r="I10" s="14" t="n">
        <v>0</v>
      </c>
      <c r="J10" s="15" t="n"/>
      <c r="K10" s="15" t="n"/>
      <c r="L10" s="14" t="n">
        <v>6545.27</v>
      </c>
      <c r="M10" s="14" t="n">
        <v>0</v>
      </c>
      <c r="N10" s="14" t="n">
        <v>9233.719999999999</v>
      </c>
      <c r="O10" s="14" t="n">
        <v>57193</v>
      </c>
      <c r="P10" s="14" t="n">
        <v>6</v>
      </c>
      <c r="Q10" s="15" t="n"/>
      <c r="R10" s="15" t="n"/>
      <c r="S10" s="15" t="n"/>
      <c r="T10" s="15" t="n"/>
      <c r="U10" s="15" t="n"/>
      <c r="V10" s="15" t="n"/>
      <c r="W10" s="15" t="n"/>
      <c r="X10" s="15" t="n"/>
      <c r="Y10" s="14" t="n">
        <v>840.28</v>
      </c>
      <c r="Z10" s="14" t="n">
        <v>42014</v>
      </c>
      <c r="AA10" s="14" t="n">
        <v>8393.440000000001</v>
      </c>
      <c r="AB10" s="14" t="n">
        <v>51988</v>
      </c>
      <c r="AC10" s="14" t="n">
        <v>36809</v>
      </c>
      <c r="AD10" s="16" t="n">
        <v>0.8761</v>
      </c>
      <c r="AE10" s="15" t="n"/>
      <c r="AF10" s="15" t="n"/>
      <c r="AG10" s="15" t="n"/>
      <c r="AH10" s="15" t="n"/>
      <c r="AI10" s="15" t="n"/>
    </row>
    <row r="11">
      <c r="A11" s="13" t="inlineStr">
        <is>
          <t>Emeralds JEM 100</t>
        </is>
      </c>
      <c r="B11" s="14" t="n">
        <v>6711.12</v>
      </c>
      <c r="C11" s="14" t="n">
        <v>394732</v>
      </c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4" t="n">
        <v>6711.12</v>
      </c>
      <c r="O11" s="14" t="n">
        <v>394732</v>
      </c>
      <c r="P11" s="14" t="n">
        <v>59</v>
      </c>
      <c r="Q11" s="15" t="n"/>
      <c r="R11" s="15" t="n"/>
      <c r="S11" s="14" t="n">
        <v>3965.79</v>
      </c>
      <c r="T11" s="14" t="n">
        <v>233258</v>
      </c>
      <c r="U11" s="15" t="n"/>
      <c r="V11" s="15" t="n"/>
      <c r="W11" s="14" t="n">
        <v>3965.79</v>
      </c>
      <c r="X11" s="14" t="n">
        <v>233258</v>
      </c>
      <c r="Y11" s="14" t="n">
        <v>1568.47</v>
      </c>
      <c r="Z11" s="14" t="n">
        <v>157157</v>
      </c>
      <c r="AA11" s="14" t="n">
        <v>1176.86</v>
      </c>
      <c r="AB11" s="14" t="n">
        <v>69220</v>
      </c>
      <c r="AC11" s="14" t="n">
        <v>64903</v>
      </c>
      <c r="AD11" s="16" t="n">
        <v>0.413</v>
      </c>
      <c r="AE11" s="15" t="n"/>
      <c r="AF11" s="15" t="n"/>
      <c r="AG11" s="15" t="n"/>
      <c r="AH11" s="15" t="n"/>
      <c r="AI11" s="15" t="n"/>
    </row>
    <row r="12">
      <c r="A12" s="13" t="inlineStr">
        <is>
          <t>Emeralds JEM 150</t>
        </is>
      </c>
      <c r="B12" s="14" t="n">
        <v>196.09</v>
      </c>
      <c r="C12" s="14" t="n">
        <v>22059</v>
      </c>
      <c r="D12" s="15" t="n"/>
      <c r="E12" s="15" t="n"/>
      <c r="F12" s="15" t="n"/>
      <c r="G12" s="15" t="n"/>
      <c r="H12" s="14" t="n">
        <v>676.45</v>
      </c>
      <c r="I12" s="14" t="n">
        <v>33288</v>
      </c>
      <c r="J12" s="15" t="n"/>
      <c r="K12" s="15" t="n"/>
      <c r="L12" s="14" t="n">
        <v>676.45</v>
      </c>
      <c r="M12" s="14" t="n">
        <v>33288</v>
      </c>
      <c r="N12" s="14" t="n">
        <v>872.54</v>
      </c>
      <c r="O12" s="14" t="n">
        <v>55347</v>
      </c>
      <c r="P12" s="14" t="n">
        <v>63</v>
      </c>
      <c r="Q12" s="15" t="n"/>
      <c r="R12" s="15" t="n"/>
      <c r="S12" s="15" t="n"/>
      <c r="T12" s="15" t="n"/>
      <c r="U12" s="15" t="n"/>
      <c r="V12" s="15" t="n"/>
      <c r="W12" s="15" t="n"/>
      <c r="X12" s="15" t="n"/>
      <c r="Y12" s="14" t="n">
        <v>58.36</v>
      </c>
      <c r="Z12" s="14" t="n">
        <v>8754</v>
      </c>
      <c r="AA12" s="14" t="n">
        <v>814.1799999999999</v>
      </c>
      <c r="AB12" s="14" t="n">
        <v>51645</v>
      </c>
      <c r="AC12" s="14" t="n">
        <v>5052</v>
      </c>
      <c r="AD12" s="16" t="n">
        <v>0.5770999999999999</v>
      </c>
      <c r="AE12" s="15" t="n"/>
      <c r="AF12" s="15" t="n"/>
      <c r="AG12" s="15" t="n"/>
      <c r="AH12" s="15" t="n"/>
      <c r="AI12" s="15" t="n"/>
    </row>
    <row r="13">
      <c r="A13" s="13" t="inlineStr">
        <is>
          <t>Emeralds JEM 200</t>
        </is>
      </c>
      <c r="B13" s="14" t="n">
        <v>621.72</v>
      </c>
      <c r="C13" s="14" t="n">
        <v>84255</v>
      </c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4" t="n">
        <v>621.72</v>
      </c>
      <c r="O13" s="14" t="n">
        <v>84255</v>
      </c>
      <c r="P13" s="14" t="n">
        <v>136</v>
      </c>
      <c r="Q13" s="15" t="n"/>
      <c r="R13" s="15" t="n"/>
      <c r="S13" s="14" t="n">
        <v>145.96</v>
      </c>
      <c r="T13" s="14" t="n">
        <v>19780</v>
      </c>
      <c r="U13" s="15" t="n"/>
      <c r="V13" s="15" t="n"/>
      <c r="W13" s="14" t="n">
        <v>145.96</v>
      </c>
      <c r="X13" s="14" t="n">
        <v>19780</v>
      </c>
      <c r="Y13" s="14" t="n">
        <v>85.83</v>
      </c>
      <c r="Z13" s="14" t="n">
        <v>17166</v>
      </c>
      <c r="AA13" s="14" t="n">
        <v>389.93</v>
      </c>
      <c r="AB13" s="14" t="n">
        <v>52843</v>
      </c>
      <c r="AC13" s="14" t="n">
        <v>5534</v>
      </c>
      <c r="AD13" s="16" t="n">
        <v>0.3224</v>
      </c>
      <c r="AE13" s="15" t="n"/>
      <c r="AF13" s="15" t="n"/>
      <c r="AG13" s="15" t="n"/>
      <c r="AH13" s="15" t="n"/>
      <c r="AI13" s="15" t="n"/>
    </row>
    <row r="14">
      <c r="A14" s="13" t="inlineStr">
        <is>
          <t>Emeralds JEM 300</t>
        </is>
      </c>
      <c r="B14" s="14" t="n">
        <v>302.75</v>
      </c>
      <c r="C14" s="14" t="n">
        <v>66165</v>
      </c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4" t="n">
        <v>302.75</v>
      </c>
      <c r="O14" s="14" t="n">
        <v>66165</v>
      </c>
      <c r="P14" s="14" t="n">
        <v>219</v>
      </c>
      <c r="Q14" s="15" t="n"/>
      <c r="R14" s="15" t="n"/>
      <c r="S14" s="15" t="n"/>
      <c r="T14" s="15" t="n"/>
      <c r="U14" s="15" t="n"/>
      <c r="V14" s="15" t="n"/>
      <c r="W14" s="15" t="n"/>
      <c r="X14" s="15" t="n"/>
      <c r="Y14" s="14" t="n">
        <v>302.75</v>
      </c>
      <c r="Z14" s="14" t="n">
        <v>90825</v>
      </c>
      <c r="AA14" s="14" t="n">
        <v>0</v>
      </c>
      <c r="AB14" s="14" t="n">
        <v>0</v>
      </c>
      <c r="AC14" s="14" t="n">
        <v>24660</v>
      </c>
      <c r="AD14" s="16" t="n">
        <v>0.2715</v>
      </c>
      <c r="AE14" s="15" t="n"/>
      <c r="AF14" s="15" t="n"/>
      <c r="AG14" s="15" t="n"/>
      <c r="AH14" s="15" t="n"/>
      <c r="AI14" s="15" t="n"/>
    </row>
    <row r="15">
      <c r="A15" s="13" t="inlineStr">
        <is>
          <t>Emeralds JEM 350</t>
        </is>
      </c>
      <c r="B15" s="14" t="n">
        <v>124.83</v>
      </c>
      <c r="C15" s="14" t="n">
        <v>30520</v>
      </c>
      <c r="D15" s="15" t="n"/>
      <c r="E15" s="15" t="n"/>
      <c r="F15" s="15" t="n"/>
      <c r="G15" s="15" t="n"/>
      <c r="H15" s="14" t="n">
        <v>4.23</v>
      </c>
      <c r="I15" s="14" t="n">
        <v>887</v>
      </c>
      <c r="J15" s="15" t="n"/>
      <c r="K15" s="15" t="n"/>
      <c r="L15" s="14" t="n">
        <v>4.23</v>
      </c>
      <c r="M15" s="14" t="n">
        <v>887</v>
      </c>
      <c r="N15" s="14" t="n">
        <v>129.06</v>
      </c>
      <c r="O15" s="14" t="n">
        <v>31407</v>
      </c>
      <c r="P15" s="14" t="n">
        <v>243</v>
      </c>
      <c r="Q15" s="15" t="n"/>
      <c r="R15" s="15" t="n"/>
      <c r="S15" s="15" t="n"/>
      <c r="T15" s="15" t="n"/>
      <c r="U15" s="15" t="n"/>
      <c r="V15" s="15" t="n"/>
      <c r="W15" s="15" t="n"/>
      <c r="X15" s="15" t="n"/>
      <c r="Y15" s="14" t="n">
        <v>110.88</v>
      </c>
      <c r="Z15" s="14" t="n">
        <v>38808</v>
      </c>
      <c r="AA15" s="14" t="n">
        <v>18.18</v>
      </c>
      <c r="AB15" s="14" t="n">
        <v>4424</v>
      </c>
      <c r="AC15" s="14" t="n">
        <v>11825</v>
      </c>
      <c r="AD15" s="16" t="n">
        <v>0.3047</v>
      </c>
      <c r="AE15" s="15" t="n"/>
      <c r="AF15" s="15" t="n"/>
      <c r="AG15" s="15" t="n"/>
      <c r="AH15" s="15" t="n"/>
      <c r="AI15" s="15" t="n"/>
    </row>
    <row r="16">
      <c r="A16" s="13" t="inlineStr">
        <is>
          <t>Emeralds JEM 400</t>
        </is>
      </c>
      <c r="B16" s="14" t="n">
        <v>119.3</v>
      </c>
      <c r="C16" s="14" t="n">
        <v>32138</v>
      </c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4" t="n">
        <v>119.3</v>
      </c>
      <c r="O16" s="14" t="n">
        <v>32138</v>
      </c>
      <c r="P16" s="14" t="n">
        <v>269</v>
      </c>
      <c r="Q16" s="15" t="n"/>
      <c r="R16" s="15" t="n"/>
      <c r="S16" s="15" t="n"/>
      <c r="T16" s="15" t="n"/>
      <c r="U16" s="15" t="n"/>
      <c r="V16" s="15" t="n"/>
      <c r="W16" s="15" t="n"/>
      <c r="X16" s="15" t="n"/>
      <c r="Y16" s="14" t="n">
        <v>108.8</v>
      </c>
      <c r="Z16" s="14" t="n">
        <v>43520</v>
      </c>
      <c r="AA16" s="14" t="n">
        <v>10.5</v>
      </c>
      <c r="AB16" s="14" t="n">
        <v>2829</v>
      </c>
      <c r="AC16" s="14" t="n">
        <v>14211</v>
      </c>
      <c r="AD16" s="16" t="n">
        <v>0.3265</v>
      </c>
      <c r="AE16" s="15" t="n"/>
      <c r="AF16" s="15" t="n"/>
      <c r="AG16" s="15" t="n"/>
      <c r="AH16" s="15" t="n"/>
      <c r="AI16" s="15" t="n"/>
    </row>
    <row r="17">
      <c r="A17" s="13" t="inlineStr">
        <is>
          <t>Emeralds JEM 500</t>
        </is>
      </c>
      <c r="B17" s="14" t="n">
        <v>34.82</v>
      </c>
      <c r="C17" s="14" t="n">
        <v>12298</v>
      </c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4" t="n">
        <v>34.82</v>
      </c>
      <c r="O17" s="14" t="n">
        <v>12298</v>
      </c>
      <c r="P17" s="14" t="n">
        <v>353</v>
      </c>
      <c r="Q17" s="15" t="n"/>
      <c r="R17" s="15" t="n"/>
      <c r="S17" s="15" t="n"/>
      <c r="T17" s="15" t="n"/>
      <c r="U17" s="15" t="n"/>
      <c r="V17" s="15" t="n"/>
      <c r="W17" s="15" t="n"/>
      <c r="X17" s="15" t="n"/>
      <c r="Y17" s="14" t="n">
        <v>27.96</v>
      </c>
      <c r="Z17" s="14" t="n">
        <v>13980</v>
      </c>
      <c r="AA17" s="14" t="n">
        <v>6.86</v>
      </c>
      <c r="AB17" s="14" t="n">
        <v>2423</v>
      </c>
      <c r="AC17" s="14" t="n">
        <v>4105</v>
      </c>
      <c r="AD17" s="16" t="n">
        <v>0.2936</v>
      </c>
      <c r="AE17" s="15" t="n"/>
      <c r="AF17" s="15" t="n"/>
      <c r="AG17" s="15" t="n"/>
      <c r="AH17" s="15" t="n"/>
      <c r="AI17" s="15" t="n"/>
    </row>
    <row r="18">
      <c r="A18" s="13" t="inlineStr">
        <is>
          <t>Emeralds JEM 600</t>
        </is>
      </c>
      <c r="B18" s="14" t="n">
        <v>48.37</v>
      </c>
      <c r="C18" s="14" t="n">
        <v>20679</v>
      </c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4" t="n">
        <v>48.37</v>
      </c>
      <c r="O18" s="14" t="n">
        <v>20679</v>
      </c>
      <c r="P18" s="14" t="n">
        <v>428</v>
      </c>
      <c r="Q18" s="15" t="n"/>
      <c r="R18" s="15" t="n"/>
      <c r="S18" s="15" t="n"/>
      <c r="T18" s="15" t="n"/>
      <c r="U18" s="15" t="n"/>
      <c r="V18" s="15" t="n"/>
      <c r="W18" s="15" t="n"/>
      <c r="X18" s="15" t="n"/>
      <c r="Y18" s="14" t="n">
        <v>48.37</v>
      </c>
      <c r="Z18" s="14" t="n">
        <v>29022</v>
      </c>
      <c r="AA18" s="14" t="n">
        <v>0</v>
      </c>
      <c r="AB18" s="14" t="n">
        <v>0</v>
      </c>
      <c r="AC18" s="14" t="n">
        <v>8343</v>
      </c>
      <c r="AD18" s="16" t="n">
        <v>0.2875</v>
      </c>
      <c r="AE18" s="15" t="n"/>
      <c r="AF18" s="15" t="n"/>
      <c r="AG18" s="15" t="n"/>
      <c r="AH18" s="15" t="n"/>
      <c r="AI18" s="15" t="n"/>
    </row>
    <row r="19">
      <c r="A19" s="13" t="inlineStr">
        <is>
          <t>Emeralds JEM 700</t>
        </is>
      </c>
      <c r="B19" s="14" t="n">
        <v>55.5</v>
      </c>
      <c r="C19" s="14" t="n">
        <v>27809</v>
      </c>
      <c r="D19" s="15" t="n"/>
      <c r="E19" s="15" t="n"/>
      <c r="F19" s="15" t="n"/>
      <c r="G19" s="15" t="n"/>
      <c r="H19" s="14" t="n">
        <v>25.07</v>
      </c>
      <c r="I19" s="14" t="n">
        <v>7622</v>
      </c>
      <c r="J19" s="15" t="n"/>
      <c r="K19" s="15" t="n"/>
      <c r="L19" s="14" t="n">
        <v>25.07</v>
      </c>
      <c r="M19" s="14" t="n">
        <v>7622</v>
      </c>
      <c r="N19" s="14" t="n">
        <v>80.56999999999999</v>
      </c>
      <c r="O19" s="14" t="n">
        <v>35431</v>
      </c>
      <c r="P19" s="14" t="n">
        <v>440</v>
      </c>
      <c r="Q19" s="15" t="n"/>
      <c r="R19" s="15" t="n"/>
      <c r="S19" s="15" t="n"/>
      <c r="T19" s="15" t="n"/>
      <c r="U19" s="15" t="n"/>
      <c r="V19" s="15" t="n"/>
      <c r="W19" s="15" t="n"/>
      <c r="X19" s="15" t="n"/>
      <c r="Y19" s="14" t="n">
        <v>74.23999999999999</v>
      </c>
      <c r="Z19" s="14" t="n">
        <v>54445</v>
      </c>
      <c r="AA19" s="14" t="n">
        <v>6.33</v>
      </c>
      <c r="AB19" s="14" t="n">
        <v>2784</v>
      </c>
      <c r="AC19" s="14" t="n">
        <v>21797</v>
      </c>
      <c r="AD19" s="16" t="n">
        <v>0.4004</v>
      </c>
      <c r="AE19" s="15" t="n"/>
      <c r="AF19" s="15" t="n"/>
      <c r="AG19" s="15" t="n"/>
      <c r="AH19" s="15" t="n"/>
      <c r="AI19" s="15" t="n"/>
    </row>
    <row r="20">
      <c r="A20" s="13" t="inlineStr">
        <is>
          <t>Emeralds JEM 800</t>
        </is>
      </c>
      <c r="B20" s="14" t="n">
        <v>50.31</v>
      </c>
      <c r="C20" s="14" t="n">
        <v>28923</v>
      </c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4" t="n">
        <v>50.31</v>
      </c>
      <c r="O20" s="14" t="n">
        <v>28923</v>
      </c>
      <c r="P20" s="14" t="n">
        <v>575</v>
      </c>
      <c r="Q20" s="15" t="n"/>
      <c r="R20" s="15" t="n"/>
      <c r="S20" s="15" t="n"/>
      <c r="T20" s="15" t="n"/>
      <c r="U20" s="15" t="n"/>
      <c r="V20" s="15" t="n"/>
      <c r="W20" s="15" t="n"/>
      <c r="X20" s="15" t="n"/>
      <c r="Y20" s="14" t="n">
        <v>46.39</v>
      </c>
      <c r="Z20" s="14" t="n">
        <v>37112</v>
      </c>
      <c r="AA20" s="14" t="n">
        <v>3.92</v>
      </c>
      <c r="AB20" s="14" t="n">
        <v>2254</v>
      </c>
      <c r="AC20" s="14" t="n">
        <v>10443</v>
      </c>
      <c r="AD20" s="16" t="n">
        <v>0.2814</v>
      </c>
      <c r="AE20" s="15" t="n"/>
      <c r="AF20" s="15" t="n"/>
      <c r="AG20" s="15" t="n"/>
      <c r="AH20" s="15" t="n"/>
      <c r="AI20" s="15" t="n"/>
    </row>
    <row r="21">
      <c r="A21" s="13" t="inlineStr">
        <is>
          <t>Emeralds JEM 850</t>
        </is>
      </c>
      <c r="B21" s="14" t="n">
        <v>54.57</v>
      </c>
      <c r="C21" s="14" t="n">
        <v>32742</v>
      </c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4" t="n">
        <v>54.57</v>
      </c>
      <c r="O21" s="14" t="n">
        <v>32742</v>
      </c>
      <c r="P21" s="14" t="n">
        <v>600</v>
      </c>
      <c r="Q21" s="15" t="n"/>
      <c r="R21" s="15" t="n"/>
      <c r="S21" s="15" t="n"/>
      <c r="T21" s="15" t="n"/>
      <c r="U21" s="15" t="n"/>
      <c r="V21" s="15" t="n"/>
      <c r="W21" s="15" t="n"/>
      <c r="X21" s="15" t="n"/>
      <c r="Y21" s="14" t="n">
        <v>48.41</v>
      </c>
      <c r="Z21" s="14" t="n">
        <v>41149</v>
      </c>
      <c r="AA21" s="14" t="n">
        <v>6.16</v>
      </c>
      <c r="AB21" s="14" t="n">
        <v>3696</v>
      </c>
      <c r="AC21" s="14" t="n">
        <v>12103</v>
      </c>
      <c r="AD21" s="16" t="n">
        <v>0.2941</v>
      </c>
      <c r="AE21" s="15" t="n"/>
      <c r="AF21" s="15" t="n"/>
      <c r="AG21" s="15" t="n"/>
      <c r="AH21" s="15" t="n"/>
      <c r="AI21" s="15" t="n"/>
    </row>
    <row r="22">
      <c r="A22" s="13" t="inlineStr">
        <is>
          <t>Emeralds JEM 900</t>
        </is>
      </c>
      <c r="B22" s="14" t="n">
        <v>17</v>
      </c>
      <c r="C22" s="14" t="n">
        <v>11004</v>
      </c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4" t="n">
        <v>17</v>
      </c>
      <c r="O22" s="14" t="n">
        <v>11004</v>
      </c>
      <c r="P22" s="14" t="n">
        <v>647</v>
      </c>
      <c r="Q22" s="15" t="n"/>
      <c r="R22" s="15" t="n"/>
      <c r="S22" s="15" t="n"/>
      <c r="T22" s="15" t="n"/>
      <c r="U22" s="15" t="n"/>
      <c r="V22" s="15" t="n"/>
      <c r="W22" s="15" t="n"/>
      <c r="X22" s="15" t="n"/>
      <c r="Y22" s="14" t="n">
        <v>3.35</v>
      </c>
      <c r="Z22" s="14" t="n">
        <v>3015</v>
      </c>
      <c r="AA22" s="14" t="n">
        <v>13.65</v>
      </c>
      <c r="AB22" s="14" t="n">
        <v>8836</v>
      </c>
      <c r="AC22" s="14" t="n">
        <v>847</v>
      </c>
      <c r="AD22" s="16" t="n">
        <v>0.2808</v>
      </c>
      <c r="AE22" s="15" t="n"/>
      <c r="AF22" s="15" t="n"/>
      <c r="AG22" s="15" t="n"/>
      <c r="AH22" s="15" t="n"/>
      <c r="AI22" s="15" t="n"/>
    </row>
    <row r="23">
      <c r="A23" s="13" t="inlineStr">
        <is>
          <t>Emeralds JEM 950</t>
        </is>
      </c>
      <c r="B23" s="14" t="n">
        <v>43.6</v>
      </c>
      <c r="C23" s="14" t="n">
        <v>28474</v>
      </c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4" t="n">
        <v>43.6</v>
      </c>
      <c r="O23" s="14" t="n">
        <v>28474</v>
      </c>
      <c r="P23" s="14" t="n">
        <v>653</v>
      </c>
      <c r="Q23" s="15" t="n"/>
      <c r="R23" s="15" t="n"/>
      <c r="S23" s="14" t="n">
        <v>25.01</v>
      </c>
      <c r="T23" s="14" t="n">
        <v>16333</v>
      </c>
      <c r="U23" s="15" t="n"/>
      <c r="V23" s="15" t="n"/>
      <c r="W23" s="14" t="n">
        <v>25.01</v>
      </c>
      <c r="X23" s="14" t="n">
        <v>16333</v>
      </c>
      <c r="Y23" s="14" t="n">
        <v>18.59</v>
      </c>
      <c r="Z23" s="14" t="n">
        <v>17661</v>
      </c>
      <c r="AA23" s="14" t="n">
        <v>0</v>
      </c>
      <c r="AB23" s="14" t="n">
        <v>0</v>
      </c>
      <c r="AC23" s="14" t="n">
        <v>5520</v>
      </c>
      <c r="AD23" s="16" t="n">
        <v>0.3126</v>
      </c>
      <c r="AE23" s="15" t="n"/>
      <c r="AF23" s="15" t="n"/>
      <c r="AG23" s="15" t="n"/>
      <c r="AH23" s="15" t="n"/>
      <c r="AI23" s="15" t="n"/>
    </row>
    <row r="24">
      <c r="A24" s="13" t="inlineStr">
        <is>
          <t>Emeralds JEM 1000</t>
        </is>
      </c>
      <c r="B24" s="14" t="n">
        <v>256.9</v>
      </c>
      <c r="C24" s="14" t="n">
        <v>181475</v>
      </c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4" t="n">
        <v>256.9</v>
      </c>
      <c r="O24" s="14" t="n">
        <v>181475</v>
      </c>
      <c r="P24" s="14" t="n">
        <v>706</v>
      </c>
      <c r="Q24" s="15" t="n"/>
      <c r="R24" s="15" t="n"/>
      <c r="S24" s="14" t="n">
        <v>67.97</v>
      </c>
      <c r="T24" s="14" t="n">
        <v>48014</v>
      </c>
      <c r="U24" s="15" t="n"/>
      <c r="V24" s="15" t="n"/>
      <c r="W24" s="14" t="n">
        <v>67.97</v>
      </c>
      <c r="X24" s="14" t="n">
        <v>48014</v>
      </c>
      <c r="Y24" s="14" t="n">
        <v>146.55</v>
      </c>
      <c r="Z24" s="14" t="n">
        <v>146550</v>
      </c>
      <c r="AA24" s="14" t="n">
        <v>42.38</v>
      </c>
      <c r="AB24" s="14" t="n">
        <v>29937</v>
      </c>
      <c r="AC24" s="14" t="n">
        <v>43027</v>
      </c>
      <c r="AD24" s="16" t="n">
        <v>0.2936</v>
      </c>
      <c r="AE24" s="15" t="n"/>
      <c r="AF24" s="15" t="n"/>
      <c r="AG24" s="15" t="n"/>
      <c r="AH24" s="15" t="n"/>
      <c r="AI24" s="15" t="n"/>
    </row>
    <row r="25">
      <c r="A25" s="13" t="inlineStr">
        <is>
          <t>Emeralds JEM 1100</t>
        </is>
      </c>
      <c r="B25" s="14" t="n">
        <v>56.9</v>
      </c>
      <c r="C25" s="14" t="n">
        <v>43194</v>
      </c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4" t="n">
        <v>56.9</v>
      </c>
      <c r="O25" s="14" t="n">
        <v>43194</v>
      </c>
      <c r="P25" s="14" t="n">
        <v>759</v>
      </c>
      <c r="Q25" s="15" t="n"/>
      <c r="R25" s="15" t="n"/>
      <c r="S25" s="15" t="n"/>
      <c r="T25" s="15" t="n"/>
      <c r="U25" s="15" t="n"/>
      <c r="V25" s="15" t="n"/>
      <c r="W25" s="15" t="n"/>
      <c r="X25" s="15" t="n"/>
      <c r="Y25" s="14" t="n">
        <v>47.73</v>
      </c>
      <c r="Z25" s="14" t="n">
        <v>55378</v>
      </c>
      <c r="AA25" s="14" t="n">
        <v>9.17</v>
      </c>
      <c r="AB25" s="14" t="n">
        <v>6961</v>
      </c>
      <c r="AC25" s="14" t="n">
        <v>19145</v>
      </c>
      <c r="AD25" s="16" t="n">
        <v>0.3457</v>
      </c>
      <c r="AE25" s="15" t="n"/>
      <c r="AF25" s="15" t="n"/>
      <c r="AG25" s="15" t="n"/>
      <c r="AH25" s="15" t="n"/>
      <c r="AI25" s="15" t="n"/>
    </row>
    <row r="26">
      <c r="A26" s="13" t="inlineStr">
        <is>
          <t>Emeralds JEM 1200</t>
        </is>
      </c>
      <c r="B26" s="14" t="n">
        <v>17.2</v>
      </c>
      <c r="C26" s="14" t="n">
        <v>14679</v>
      </c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4" t="n">
        <v>17.2</v>
      </c>
      <c r="O26" s="14" t="n">
        <v>14679</v>
      </c>
      <c r="P26" s="14" t="n">
        <v>853</v>
      </c>
      <c r="Q26" s="15" t="n"/>
      <c r="R26" s="15" t="n"/>
      <c r="S26" s="15" t="n"/>
      <c r="T26" s="15" t="n"/>
      <c r="U26" s="15" t="n"/>
      <c r="V26" s="15" t="n"/>
      <c r="W26" s="15" t="n"/>
      <c r="X26" s="15" t="n"/>
      <c r="Y26" s="14" t="n">
        <v>17.2</v>
      </c>
      <c r="Z26" s="14" t="n">
        <v>20640</v>
      </c>
      <c r="AA26" s="14" t="n">
        <v>0</v>
      </c>
      <c r="AB26" s="14" t="n">
        <v>0</v>
      </c>
      <c r="AC26" s="14" t="n">
        <v>5961</v>
      </c>
      <c r="AD26" s="16" t="n">
        <v>0.2888</v>
      </c>
      <c r="AE26" s="15" t="n"/>
      <c r="AF26" s="15" t="n"/>
      <c r="AG26" s="15" t="n"/>
      <c r="AH26" s="15" t="n"/>
      <c r="AI26" s="15" t="n"/>
    </row>
    <row r="27">
      <c r="A27" s="13" t="inlineStr">
        <is>
          <t>Emeralds JEM 1400</t>
        </is>
      </c>
      <c r="B27" s="14" t="n">
        <v>125.02</v>
      </c>
      <c r="C27" s="14" t="n">
        <v>124545</v>
      </c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4" t="n">
        <v>125.02</v>
      </c>
      <c r="O27" s="14" t="n">
        <v>124545</v>
      </c>
      <c r="P27" s="14" t="n">
        <v>996</v>
      </c>
      <c r="Q27" s="15" t="n"/>
      <c r="R27" s="15" t="n"/>
      <c r="S27" s="14" t="n">
        <v>50</v>
      </c>
      <c r="T27" s="14" t="n">
        <v>49810</v>
      </c>
      <c r="U27" s="15" t="n"/>
      <c r="V27" s="15" t="n"/>
      <c r="W27" s="14" t="n">
        <v>50</v>
      </c>
      <c r="X27" s="14" t="n">
        <v>49810</v>
      </c>
      <c r="Y27" s="14" t="n">
        <v>75.02</v>
      </c>
      <c r="Z27" s="14" t="n">
        <v>105028</v>
      </c>
      <c r="AA27" s="14" t="n">
        <v>0</v>
      </c>
      <c r="AB27" s="14" t="n">
        <v>0</v>
      </c>
      <c r="AC27" s="14" t="n">
        <v>30293</v>
      </c>
      <c r="AD27" s="16" t="n">
        <v>0.2884</v>
      </c>
      <c r="AE27" s="15" t="n"/>
      <c r="AF27" s="15" t="n"/>
      <c r="AG27" s="15" t="n"/>
      <c r="AH27" s="15" t="n"/>
      <c r="AI27" s="15" t="n"/>
    </row>
    <row r="28">
      <c r="A28" s="13" t="inlineStr">
        <is>
          <t>Emeralds JEM 1600</t>
        </is>
      </c>
      <c r="B28" s="14" t="n">
        <v>19.71</v>
      </c>
      <c r="C28" s="14" t="n">
        <v>21688</v>
      </c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4" t="n">
        <v>19.71</v>
      </c>
      <c r="O28" s="14" t="n">
        <v>21688</v>
      </c>
      <c r="P28" s="14" t="n">
        <v>1100</v>
      </c>
      <c r="Q28" s="15" t="n"/>
      <c r="R28" s="15" t="n"/>
      <c r="S28" s="15" t="n"/>
      <c r="T28" s="15" t="n"/>
      <c r="U28" s="15" t="n"/>
      <c r="V28" s="15" t="n"/>
      <c r="W28" s="15" t="n"/>
      <c r="X28" s="15" t="n"/>
      <c r="Y28" s="14" t="n">
        <v>16.16</v>
      </c>
      <c r="Z28" s="14" t="n">
        <v>25856</v>
      </c>
      <c r="AA28" s="14" t="n">
        <v>3.55</v>
      </c>
      <c r="AB28" s="14" t="n">
        <v>3906</v>
      </c>
      <c r="AC28" s="14" t="n">
        <v>8074</v>
      </c>
      <c r="AD28" s="16" t="n">
        <v>0.3123</v>
      </c>
      <c r="AE28" s="15" t="n"/>
      <c r="AF28" s="15" t="n"/>
      <c r="AG28" s="15" t="n"/>
      <c r="AH28" s="15" t="n"/>
      <c r="AI28" s="15" t="n"/>
    </row>
    <row r="29">
      <c r="A29" s="13" t="inlineStr">
        <is>
          <t>Emeralds JEM 1700</t>
        </is>
      </c>
      <c r="B29" s="14" t="n">
        <v>155.72</v>
      </c>
      <c r="C29" s="14" t="n">
        <v>186864</v>
      </c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4" t="n">
        <v>155.72</v>
      </c>
      <c r="O29" s="14" t="n">
        <v>186864</v>
      </c>
      <c r="P29" s="14" t="n">
        <v>1200</v>
      </c>
      <c r="Q29" s="15" t="n"/>
      <c r="R29" s="15" t="n"/>
      <c r="S29" s="15" t="n"/>
      <c r="T29" s="15" t="n"/>
      <c r="U29" s="15" t="n"/>
      <c r="V29" s="15" t="n"/>
      <c r="W29" s="15" t="n"/>
      <c r="X29" s="15" t="n"/>
      <c r="Y29" s="14" t="n">
        <v>150.76</v>
      </c>
      <c r="Z29" s="14" t="n">
        <v>257887</v>
      </c>
      <c r="AA29" s="14" t="n">
        <v>4.96</v>
      </c>
      <c r="AB29" s="14" t="n">
        <v>5952</v>
      </c>
      <c r="AC29" s="14" t="n">
        <v>76975</v>
      </c>
      <c r="AD29" s="16" t="n">
        <v>0.2985</v>
      </c>
      <c r="AE29" s="15" t="n"/>
      <c r="AF29" s="15" t="n"/>
      <c r="AG29" s="15" t="n"/>
      <c r="AH29" s="15" t="n"/>
      <c r="AI29" s="15" t="n"/>
    </row>
    <row r="30">
      <c r="A30" s="13" t="inlineStr">
        <is>
          <t>Emeralds JEM 1800</t>
        </is>
      </c>
      <c r="B30" s="14" t="n">
        <v>108.18</v>
      </c>
      <c r="C30" s="14" t="n">
        <v>139870</v>
      </c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4" t="n">
        <v>108.18</v>
      </c>
      <c r="O30" s="14" t="n">
        <v>139870</v>
      </c>
      <c r="P30" s="14" t="n">
        <v>1293</v>
      </c>
      <c r="Q30" s="15" t="n"/>
      <c r="R30" s="15" t="n"/>
      <c r="S30" s="14" t="n">
        <v>75.01000000000001</v>
      </c>
      <c r="T30" s="14" t="n">
        <v>96983</v>
      </c>
      <c r="U30" s="15" t="n"/>
      <c r="V30" s="15" t="n"/>
      <c r="W30" s="14" t="n">
        <v>75.01000000000001</v>
      </c>
      <c r="X30" s="14" t="n">
        <v>96983</v>
      </c>
      <c r="Y30" s="14" t="n">
        <v>27.53</v>
      </c>
      <c r="Z30" s="14" t="n">
        <v>49554</v>
      </c>
      <c r="AA30" s="14" t="n">
        <v>5.64</v>
      </c>
      <c r="AB30" s="14" t="n">
        <v>7292</v>
      </c>
      <c r="AC30" s="14" t="n">
        <v>13959</v>
      </c>
      <c r="AD30" s="16" t="n">
        <v>0.2817</v>
      </c>
      <c r="AE30" s="15" t="n"/>
      <c r="AF30" s="15" t="n"/>
      <c r="AG30" s="15" t="n"/>
      <c r="AH30" s="15" t="n"/>
      <c r="AI30" s="15" t="n"/>
    </row>
    <row r="31">
      <c r="A31" s="13" t="inlineStr">
        <is>
          <t>Emeralds JEM 1900</t>
        </is>
      </c>
      <c r="B31" s="14" t="n">
        <v>1.855</v>
      </c>
      <c r="C31" s="14" t="n">
        <v>3562</v>
      </c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4" t="n">
        <v>1.855</v>
      </c>
      <c r="O31" s="14" t="n">
        <v>3562</v>
      </c>
      <c r="P31" s="14" t="n">
        <v>1920</v>
      </c>
      <c r="Q31" s="15" t="n"/>
      <c r="R31" s="15" t="n"/>
      <c r="S31" s="15" t="n"/>
      <c r="T31" s="15" t="n"/>
      <c r="U31" s="15" t="n"/>
      <c r="V31" s="15" t="n"/>
      <c r="W31" s="15" t="n"/>
      <c r="X31" s="15" t="n"/>
      <c r="Y31" s="14" t="n">
        <v>1.855</v>
      </c>
      <c r="Z31" s="14" t="n">
        <v>3525</v>
      </c>
      <c r="AA31" s="14" t="n">
        <v>0</v>
      </c>
      <c r="AB31" s="14" t="n">
        <v>0</v>
      </c>
      <c r="AC31" s="14" t="n">
        <v>-37</v>
      </c>
      <c r="AD31" s="16" t="n">
        <v>0</v>
      </c>
      <c r="AE31" s="15" t="n"/>
      <c r="AF31" s="15" t="n"/>
      <c r="AG31" s="15" t="n"/>
      <c r="AH31" s="15" t="n"/>
      <c r="AI31" s="15" t="n"/>
    </row>
    <row r="32">
      <c r="A32" s="13" t="inlineStr">
        <is>
          <t>Emeralds JEM 2000</t>
        </is>
      </c>
      <c r="B32" s="14" t="n">
        <v>14.58</v>
      </c>
      <c r="C32" s="14" t="n">
        <v>20402</v>
      </c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4" t="n">
        <v>14.58</v>
      </c>
      <c r="O32" s="14" t="n">
        <v>20402</v>
      </c>
      <c r="P32" s="14" t="n">
        <v>1399</v>
      </c>
      <c r="Q32" s="15" t="n"/>
      <c r="R32" s="15" t="n"/>
      <c r="S32" s="15" t="n"/>
      <c r="T32" s="15" t="n"/>
      <c r="U32" s="15" t="n"/>
      <c r="V32" s="15" t="n"/>
      <c r="W32" s="15" t="n"/>
      <c r="X32" s="15" t="n"/>
      <c r="Y32" s="14" t="n">
        <v>9.4</v>
      </c>
      <c r="Z32" s="14" t="n">
        <v>18800</v>
      </c>
      <c r="AA32" s="14" t="n">
        <v>5.18</v>
      </c>
      <c r="AB32" s="14" t="n">
        <v>7248</v>
      </c>
      <c r="AC32" s="14" t="n">
        <v>5646</v>
      </c>
      <c r="AD32" s="16" t="n">
        <v>0.3003</v>
      </c>
      <c r="AE32" s="15" t="n"/>
      <c r="AF32" s="15" t="n"/>
      <c r="AG32" s="15" t="n"/>
      <c r="AH32" s="15" t="n"/>
      <c r="AI32" s="15" t="n"/>
    </row>
    <row r="33">
      <c r="A33" s="13" t="inlineStr">
        <is>
          <t>Emeralds JEM 2100</t>
        </is>
      </c>
      <c r="B33" s="14" t="n">
        <v>4.8</v>
      </c>
      <c r="C33" s="14" t="n">
        <v>10080</v>
      </c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4" t="n">
        <v>4.8</v>
      </c>
      <c r="O33" s="14" t="n">
        <v>10080</v>
      </c>
      <c r="P33" s="14" t="n">
        <v>2100</v>
      </c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4" t="n">
        <v>4.8</v>
      </c>
      <c r="AB33" s="14" t="n">
        <v>10080</v>
      </c>
      <c r="AC33" s="14" t="n">
        <v>0</v>
      </c>
      <c r="AD33" s="16" t="n">
        <v>0</v>
      </c>
      <c r="AE33" s="15" t="n"/>
      <c r="AF33" s="15" t="n"/>
      <c r="AG33" s="15" t="n"/>
      <c r="AH33" s="15" t="n"/>
      <c r="AI33" s="15" t="n"/>
    </row>
    <row r="34">
      <c r="A34" s="13" t="inlineStr">
        <is>
          <t>Emeralds JEM 2200</t>
        </is>
      </c>
      <c r="B34" s="14" t="n">
        <v>1.685</v>
      </c>
      <c r="C34" s="14" t="n">
        <v>3734</v>
      </c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4" t="n">
        <v>1.685</v>
      </c>
      <c r="O34" s="14" t="n">
        <v>3734</v>
      </c>
      <c r="P34" s="14" t="n">
        <v>2216</v>
      </c>
      <c r="Q34" s="15" t="n"/>
      <c r="R34" s="15" t="n"/>
      <c r="S34" s="15" t="n"/>
      <c r="T34" s="15" t="n"/>
      <c r="U34" s="15" t="n"/>
      <c r="V34" s="15" t="n"/>
      <c r="W34" s="15" t="n"/>
      <c r="X34" s="15" t="n"/>
      <c r="Y34" s="14" t="n">
        <v>1.685</v>
      </c>
      <c r="Z34" s="14" t="n">
        <v>3707</v>
      </c>
      <c r="AA34" s="14" t="n">
        <v>0</v>
      </c>
      <c r="AB34" s="14" t="n">
        <v>0</v>
      </c>
      <c r="AC34" s="14" t="n">
        <v>-27</v>
      </c>
      <c r="AD34" s="16" t="n">
        <v>0</v>
      </c>
      <c r="AE34" s="15" t="n"/>
      <c r="AF34" s="15" t="n"/>
      <c r="AG34" s="15" t="n"/>
      <c r="AH34" s="15" t="n"/>
      <c r="AI34" s="15" t="n"/>
    </row>
    <row r="35">
      <c r="A35" s="13" t="inlineStr">
        <is>
          <t>Emeralds JEM 2500</t>
        </is>
      </c>
      <c r="B35" s="14" t="n">
        <v>77.11</v>
      </c>
      <c r="C35" s="14" t="n">
        <v>139627</v>
      </c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4" t="n">
        <v>77.11</v>
      </c>
      <c r="O35" s="14" t="n">
        <v>139627</v>
      </c>
      <c r="P35" s="14" t="n">
        <v>1811</v>
      </c>
      <c r="Q35" s="15" t="n"/>
      <c r="R35" s="15" t="n"/>
      <c r="S35" s="15" t="n"/>
      <c r="T35" s="15" t="n"/>
      <c r="U35" s="15" t="n"/>
      <c r="V35" s="15" t="n"/>
      <c r="W35" s="15" t="n"/>
      <c r="X35" s="15" t="n"/>
      <c r="Y35" s="14" t="n">
        <v>69.33</v>
      </c>
      <c r="Z35" s="14" t="n">
        <v>187920</v>
      </c>
      <c r="AA35" s="14" t="n">
        <v>7.78</v>
      </c>
      <c r="AB35" s="14" t="n">
        <v>14088</v>
      </c>
      <c r="AC35" s="14" t="n">
        <v>62381</v>
      </c>
      <c r="AD35" s="16" t="n">
        <v>0.332</v>
      </c>
      <c r="AE35" s="15" t="n"/>
      <c r="AF35" s="15" t="n"/>
      <c r="AG35" s="15" t="n"/>
      <c r="AH35" s="15" t="n"/>
      <c r="AI35" s="15" t="n"/>
    </row>
    <row r="36">
      <c r="A36" s="13" t="inlineStr">
        <is>
          <t>Emeralds JEM 2600</t>
        </is>
      </c>
      <c r="B36" s="14" t="n">
        <v>32.72</v>
      </c>
      <c r="C36" s="14" t="n">
        <v>60997</v>
      </c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4" t="n">
        <v>32.72</v>
      </c>
      <c r="O36" s="14" t="n">
        <v>60997</v>
      </c>
      <c r="P36" s="14" t="n">
        <v>1864</v>
      </c>
      <c r="Q36" s="15" t="n"/>
      <c r="R36" s="15" t="n"/>
      <c r="S36" s="15" t="n"/>
      <c r="T36" s="15" t="n"/>
      <c r="U36" s="15" t="n"/>
      <c r="V36" s="15" t="n"/>
      <c r="W36" s="15" t="n"/>
      <c r="X36" s="15" t="n"/>
      <c r="Y36" s="14" t="n">
        <v>24.78</v>
      </c>
      <c r="Z36" s="14" t="n">
        <v>64428</v>
      </c>
      <c r="AA36" s="14" t="n">
        <v>7.94</v>
      </c>
      <c r="AB36" s="14" t="n">
        <v>14802</v>
      </c>
      <c r="AC36" s="14" t="n">
        <v>18233</v>
      </c>
      <c r="AD36" s="16" t="n">
        <v>0.283</v>
      </c>
      <c r="AE36" s="15" t="n"/>
      <c r="AF36" s="15" t="n"/>
      <c r="AG36" s="15" t="n"/>
      <c r="AH36" s="15" t="n"/>
      <c r="AI36" s="15" t="n"/>
    </row>
    <row r="37">
      <c r="A37" s="13" t="inlineStr">
        <is>
          <t>Emeralds JEM 2800</t>
        </is>
      </c>
      <c r="B37" s="14" t="n">
        <v>1.67</v>
      </c>
      <c r="C37" s="14" t="n">
        <v>3325</v>
      </c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4" t="n">
        <v>1.67</v>
      </c>
      <c r="O37" s="14" t="n">
        <v>3325</v>
      </c>
      <c r="P37" s="14" t="n">
        <v>1991</v>
      </c>
      <c r="Q37" s="15" t="n"/>
      <c r="R37" s="15" t="n"/>
      <c r="S37" s="15" t="n"/>
      <c r="T37" s="15" t="n"/>
      <c r="U37" s="15" t="n"/>
      <c r="V37" s="15" t="n"/>
      <c r="W37" s="15" t="n"/>
      <c r="X37" s="15" t="n"/>
      <c r="Y37" s="14" t="n">
        <v>1.67</v>
      </c>
      <c r="Z37" s="14" t="n">
        <v>4676</v>
      </c>
      <c r="AA37" s="14" t="n">
        <v>0</v>
      </c>
      <c r="AB37" s="14" t="n">
        <v>0</v>
      </c>
      <c r="AC37" s="14" t="n">
        <v>1351</v>
      </c>
      <c r="AD37" s="16" t="n">
        <v>0.2889</v>
      </c>
      <c r="AE37" s="15" t="n"/>
      <c r="AF37" s="15" t="n"/>
      <c r="AG37" s="15" t="n"/>
      <c r="AH37" s="15" t="n"/>
      <c r="AI37" s="15" t="n"/>
    </row>
    <row r="38">
      <c r="A38" s="13" t="inlineStr">
        <is>
          <t>Emeralds JEM 3000</t>
        </is>
      </c>
      <c r="B38" s="14" t="n">
        <v>12.13</v>
      </c>
      <c r="C38" s="14" t="n">
        <v>26336</v>
      </c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4" t="n">
        <v>12.13</v>
      </c>
      <c r="O38" s="14" t="n">
        <v>26336</v>
      </c>
      <c r="P38" s="14" t="n">
        <v>2171</v>
      </c>
      <c r="Q38" s="15" t="n"/>
      <c r="R38" s="15" t="n"/>
      <c r="S38" s="15" t="n"/>
      <c r="T38" s="15" t="n"/>
      <c r="U38" s="15" t="n"/>
      <c r="V38" s="15" t="n"/>
      <c r="W38" s="15" t="n"/>
      <c r="X38" s="15" t="n"/>
      <c r="Y38" s="14" t="n">
        <v>12.13</v>
      </c>
      <c r="Z38" s="14" t="n">
        <v>36390</v>
      </c>
      <c r="AA38" s="14" t="n">
        <v>0</v>
      </c>
      <c r="AB38" s="14" t="n">
        <v>0</v>
      </c>
      <c r="AC38" s="14" t="n">
        <v>10054</v>
      </c>
      <c r="AD38" s="16" t="n">
        <v>0.2763</v>
      </c>
      <c r="AE38" s="15" t="n"/>
      <c r="AF38" s="15" t="n"/>
      <c r="AG38" s="15" t="n"/>
      <c r="AH38" s="15" t="n"/>
      <c r="AI38" s="15" t="n"/>
    </row>
    <row r="39">
      <c r="A39" s="13" t="inlineStr">
        <is>
          <t>Emeralds JEM 3100</t>
        </is>
      </c>
      <c r="B39" s="14" t="n">
        <v>0.51</v>
      </c>
      <c r="C39" s="14" t="n">
        <v>1581</v>
      </c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4" t="n">
        <v>0.51</v>
      </c>
      <c r="O39" s="14" t="n">
        <v>1581</v>
      </c>
      <c r="P39" s="14" t="n">
        <v>3100</v>
      </c>
      <c r="Q39" s="15" t="n"/>
      <c r="R39" s="15" t="n"/>
      <c r="S39" s="15" t="n"/>
      <c r="T39" s="15" t="n"/>
      <c r="U39" s="15" t="n"/>
      <c r="V39" s="15" t="n"/>
      <c r="W39" s="15" t="n"/>
      <c r="X39" s="15" t="n"/>
      <c r="Y39" s="14" t="n">
        <v>0.51</v>
      </c>
      <c r="Z39" s="14" t="n">
        <v>1581</v>
      </c>
      <c r="AA39" s="14" t="n">
        <v>0</v>
      </c>
      <c r="AB39" s="14" t="n">
        <v>0</v>
      </c>
      <c r="AC39" s="14" t="n">
        <v>0</v>
      </c>
      <c r="AD39" s="16" t="n">
        <v>0</v>
      </c>
      <c r="AE39" s="15" t="n"/>
      <c r="AF39" s="15" t="n"/>
      <c r="AG39" s="15" t="n"/>
      <c r="AH39" s="15" t="n"/>
      <c r="AI39" s="15" t="n"/>
    </row>
    <row r="40">
      <c r="A40" s="13" t="inlineStr">
        <is>
          <t>Emeralds JEM 3200</t>
        </is>
      </c>
      <c r="B40" s="14" t="n">
        <v>0.06</v>
      </c>
      <c r="C40" s="14" t="n">
        <v>192</v>
      </c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4" t="n">
        <v>0.06</v>
      </c>
      <c r="O40" s="14" t="n">
        <v>192</v>
      </c>
      <c r="P40" s="14" t="n">
        <v>3200</v>
      </c>
      <c r="Q40" s="15" t="n"/>
      <c r="R40" s="15" t="n"/>
      <c r="S40" s="15" t="n"/>
      <c r="T40" s="15" t="n"/>
      <c r="U40" s="15" t="n"/>
      <c r="V40" s="15" t="n"/>
      <c r="W40" s="15" t="n"/>
      <c r="X40" s="15" t="n"/>
      <c r="Y40" s="14" t="n">
        <v>0.06</v>
      </c>
      <c r="Z40" s="14" t="n">
        <v>192</v>
      </c>
      <c r="AA40" s="14" t="n">
        <v>0</v>
      </c>
      <c r="AB40" s="14" t="n">
        <v>0</v>
      </c>
      <c r="AC40" s="14" t="n">
        <v>0</v>
      </c>
      <c r="AD40" s="16" t="n">
        <v>0</v>
      </c>
      <c r="AE40" s="15" t="n"/>
      <c r="AF40" s="15" t="n"/>
      <c r="AG40" s="15" t="n"/>
      <c r="AH40" s="15" t="n"/>
      <c r="AI40" s="15" t="n"/>
    </row>
    <row r="41">
      <c r="A41" s="13" t="inlineStr">
        <is>
          <t>Emeralds JEM 3500</t>
        </is>
      </c>
      <c r="B41" s="14" t="n">
        <v>70.25</v>
      </c>
      <c r="C41" s="14" t="n">
        <v>175147</v>
      </c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4" t="n">
        <v>70.25</v>
      </c>
      <c r="O41" s="14" t="n">
        <v>175147</v>
      </c>
      <c r="P41" s="14" t="n">
        <v>2493</v>
      </c>
      <c r="Q41" s="15" t="n"/>
      <c r="R41" s="15" t="n"/>
      <c r="S41" s="15" t="n"/>
      <c r="T41" s="15" t="n"/>
      <c r="U41" s="15" t="n"/>
      <c r="V41" s="15" t="n"/>
      <c r="W41" s="15" t="n"/>
      <c r="X41" s="15" t="n"/>
      <c r="Y41" s="14" t="n">
        <v>70.25</v>
      </c>
      <c r="Z41" s="14" t="n">
        <v>255223</v>
      </c>
      <c r="AA41" s="14" t="n">
        <v>0</v>
      </c>
      <c r="AB41" s="14" t="n">
        <v>0</v>
      </c>
      <c r="AC41" s="14" t="n">
        <v>80076</v>
      </c>
      <c r="AD41" s="16" t="n">
        <v>0.3137</v>
      </c>
      <c r="AE41" s="15" t="n"/>
      <c r="AF41" s="15" t="n"/>
      <c r="AG41" s="15" t="n"/>
      <c r="AH41" s="15" t="n"/>
      <c r="AI41" s="15" t="n"/>
    </row>
    <row r="42">
      <c r="A42" s="13" t="inlineStr">
        <is>
          <t>Emeralds JEM 3700</t>
        </is>
      </c>
      <c r="B42" s="14" t="n">
        <v>0.38</v>
      </c>
      <c r="C42" s="14" t="n">
        <v>997</v>
      </c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4" t="n">
        <v>0.38</v>
      </c>
      <c r="O42" s="14" t="n">
        <v>997</v>
      </c>
      <c r="P42" s="14" t="n">
        <v>2624</v>
      </c>
      <c r="Q42" s="15" t="n"/>
      <c r="R42" s="15" t="n"/>
      <c r="S42" s="15" t="n"/>
      <c r="T42" s="15" t="n"/>
      <c r="U42" s="15" t="n"/>
      <c r="V42" s="15" t="n"/>
      <c r="W42" s="15" t="n"/>
      <c r="X42" s="15" t="n"/>
      <c r="Y42" s="14" t="n">
        <v>0.38</v>
      </c>
      <c r="Z42" s="14" t="n">
        <v>1406</v>
      </c>
      <c r="AA42" s="14" t="n">
        <v>0</v>
      </c>
      <c r="AB42" s="14" t="n">
        <v>0</v>
      </c>
      <c r="AC42" s="14" t="n">
        <v>409</v>
      </c>
      <c r="AD42" s="16" t="n">
        <v>0.2909</v>
      </c>
      <c r="AE42" s="15" t="n"/>
      <c r="AF42" s="15" t="n"/>
      <c r="AG42" s="15" t="n"/>
      <c r="AH42" s="15" t="n"/>
      <c r="AI42" s="15" t="n"/>
    </row>
    <row r="43">
      <c r="A43" s="13" t="inlineStr">
        <is>
          <t>Emeralds JEM 3800</t>
        </is>
      </c>
      <c r="B43" s="14" t="n">
        <v>89.97</v>
      </c>
      <c r="C43" s="14" t="n">
        <v>244940</v>
      </c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4" t="n">
        <v>89.97</v>
      </c>
      <c r="O43" s="14" t="n">
        <v>244940</v>
      </c>
      <c r="P43" s="14" t="n">
        <v>2722</v>
      </c>
      <c r="Q43" s="15" t="n"/>
      <c r="R43" s="15" t="n"/>
      <c r="S43" s="14" t="n">
        <v>75.63</v>
      </c>
      <c r="T43" s="14" t="n">
        <v>205900</v>
      </c>
      <c r="U43" s="15" t="n"/>
      <c r="V43" s="15" t="n"/>
      <c r="W43" s="14" t="n">
        <v>75.63</v>
      </c>
      <c r="X43" s="14" t="n">
        <v>205900</v>
      </c>
      <c r="Y43" s="14" t="n">
        <v>1</v>
      </c>
      <c r="Z43" s="14" t="n">
        <v>3800</v>
      </c>
      <c r="AA43" s="14" t="n">
        <v>13.34</v>
      </c>
      <c r="AB43" s="14" t="n">
        <v>36318</v>
      </c>
      <c r="AC43" s="14" t="n">
        <v>1078</v>
      </c>
      <c r="AD43" s="16" t="n">
        <v>0.2836</v>
      </c>
      <c r="AE43" s="15" t="n"/>
      <c r="AF43" s="15" t="n"/>
      <c r="AG43" s="15" t="n"/>
      <c r="AH43" s="15" t="n"/>
      <c r="AI43" s="15" t="n"/>
    </row>
    <row r="44">
      <c r="A44" s="13" t="inlineStr">
        <is>
          <t>Emeralds JEM 3900</t>
        </is>
      </c>
      <c r="B44" s="14" t="n">
        <v>32.1</v>
      </c>
      <c r="C44" s="14" t="n">
        <v>89030</v>
      </c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4" t="n">
        <v>32.1</v>
      </c>
      <c r="O44" s="14" t="n">
        <v>89030</v>
      </c>
      <c r="P44" s="14" t="n">
        <v>2774</v>
      </c>
      <c r="Q44" s="15" t="n"/>
      <c r="R44" s="15" t="n"/>
      <c r="S44" s="15" t="n"/>
      <c r="T44" s="15" t="n"/>
      <c r="U44" s="15" t="n"/>
      <c r="V44" s="15" t="n"/>
      <c r="W44" s="15" t="n"/>
      <c r="X44" s="15" t="n"/>
      <c r="Y44" s="14" t="n">
        <v>25.55</v>
      </c>
      <c r="Z44" s="14" t="n">
        <v>99645</v>
      </c>
      <c r="AA44" s="14" t="n">
        <v>6.55</v>
      </c>
      <c r="AB44" s="14" t="n">
        <v>18167</v>
      </c>
      <c r="AC44" s="14" t="n">
        <v>28782</v>
      </c>
      <c r="AD44" s="16" t="n">
        <v>0.2888</v>
      </c>
      <c r="AE44" s="15" t="n"/>
      <c r="AF44" s="15" t="n"/>
      <c r="AG44" s="15" t="n"/>
      <c r="AH44" s="15" t="n"/>
      <c r="AI44" s="15" t="n"/>
    </row>
    <row r="45">
      <c r="A45" s="13" t="inlineStr">
        <is>
          <t>Emeralds JEM 4000</t>
        </is>
      </c>
      <c r="B45" s="14" t="n">
        <v>0.8</v>
      </c>
      <c r="C45" s="14" t="n">
        <v>2307</v>
      </c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4" t="n">
        <v>0.8</v>
      </c>
      <c r="O45" s="14" t="n">
        <v>2307</v>
      </c>
      <c r="P45" s="14" t="n">
        <v>2884</v>
      </c>
      <c r="Q45" s="15" t="n"/>
      <c r="R45" s="15" t="n"/>
      <c r="S45" s="15" t="n"/>
      <c r="T45" s="15" t="n"/>
      <c r="U45" s="15" t="n"/>
      <c r="V45" s="15" t="n"/>
      <c r="W45" s="15" t="n"/>
      <c r="X45" s="15" t="n"/>
      <c r="Y45" s="14" t="n">
        <v>0.8</v>
      </c>
      <c r="Z45" s="14" t="n">
        <v>3200</v>
      </c>
      <c r="AA45" s="14" t="n">
        <v>0</v>
      </c>
      <c r="AB45" s="14" t="n">
        <v>0</v>
      </c>
      <c r="AC45" s="14" t="n">
        <v>893</v>
      </c>
      <c r="AD45" s="16" t="n">
        <v>0.2791</v>
      </c>
      <c r="AE45" s="15" t="n"/>
      <c r="AF45" s="15" t="n"/>
      <c r="AG45" s="15" t="n"/>
      <c r="AH45" s="15" t="n"/>
      <c r="AI45" s="15" t="n"/>
    </row>
    <row r="46">
      <c r="A46" s="13" t="inlineStr">
        <is>
          <t>Emeralds JEM 4500</t>
        </is>
      </c>
      <c r="B46" s="14" t="n">
        <v>9.06</v>
      </c>
      <c r="C46" s="14" t="n">
        <v>29316</v>
      </c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4" t="n">
        <v>9.06</v>
      </c>
      <c r="O46" s="14" t="n">
        <v>29316</v>
      </c>
      <c r="P46" s="14" t="n">
        <v>3236</v>
      </c>
      <c r="Q46" s="15" t="n"/>
      <c r="R46" s="15" t="n"/>
      <c r="S46" s="15" t="n"/>
      <c r="T46" s="15" t="n"/>
      <c r="U46" s="15" t="n"/>
      <c r="V46" s="15" t="n"/>
      <c r="W46" s="15" t="n"/>
      <c r="X46" s="15" t="n"/>
      <c r="Y46" s="14" t="n">
        <v>9.06</v>
      </c>
      <c r="Z46" s="14" t="n">
        <v>40770</v>
      </c>
      <c r="AA46" s="14" t="n">
        <v>0</v>
      </c>
      <c r="AB46" s="14" t="n">
        <v>0</v>
      </c>
      <c r="AC46" s="14" t="n">
        <v>11454</v>
      </c>
      <c r="AD46" s="16" t="n">
        <v>0.2809</v>
      </c>
      <c r="AE46" s="15" t="n"/>
      <c r="AF46" s="15" t="n"/>
      <c r="AG46" s="15" t="n"/>
      <c r="AH46" s="15" t="n"/>
      <c r="AI46" s="15" t="n"/>
    </row>
    <row r="47">
      <c r="A47" s="13" t="inlineStr">
        <is>
          <t>Emeralds JEM 4900</t>
        </is>
      </c>
      <c r="B47" s="14" t="n">
        <v>22.32</v>
      </c>
      <c r="C47" s="14" t="n">
        <v>78315</v>
      </c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4" t="n">
        <v>22.32</v>
      </c>
      <c r="O47" s="14" t="n">
        <v>78315</v>
      </c>
      <c r="P47" s="14" t="n">
        <v>3509</v>
      </c>
      <c r="Q47" s="15" t="n"/>
      <c r="R47" s="15" t="n"/>
      <c r="S47" s="15" t="n"/>
      <c r="T47" s="15" t="n"/>
      <c r="U47" s="15" t="n"/>
      <c r="V47" s="15" t="n"/>
      <c r="W47" s="15" t="n"/>
      <c r="X47" s="15" t="n"/>
      <c r="Y47" s="14" t="n">
        <v>13.77</v>
      </c>
      <c r="Z47" s="14" t="n">
        <v>67948</v>
      </c>
      <c r="AA47" s="14" t="n">
        <v>8.550000000000001</v>
      </c>
      <c r="AB47" s="14" t="n">
        <v>30000</v>
      </c>
      <c r="AC47" s="14" t="n">
        <v>19633</v>
      </c>
      <c r="AD47" s="16" t="n">
        <v>0.2889</v>
      </c>
      <c r="AE47" s="15" t="n"/>
      <c r="AF47" s="15" t="n"/>
      <c r="AG47" s="15" t="n"/>
      <c r="AH47" s="15" t="n"/>
      <c r="AI47" s="15" t="n"/>
    </row>
    <row r="48">
      <c r="A48" s="13" t="inlineStr">
        <is>
          <t>Emeralds JEM 5000</t>
        </is>
      </c>
      <c r="B48" s="14" t="n">
        <v>61.35</v>
      </c>
      <c r="C48" s="14" t="n">
        <v>220576</v>
      </c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4" t="n">
        <v>61.35</v>
      </c>
      <c r="O48" s="14" t="n">
        <v>220576</v>
      </c>
      <c r="P48" s="14" t="n">
        <v>3595</v>
      </c>
      <c r="Q48" s="15" t="n"/>
      <c r="R48" s="15" t="n"/>
      <c r="S48" s="14" t="n">
        <v>40.02</v>
      </c>
      <c r="T48" s="14" t="n">
        <v>143887</v>
      </c>
      <c r="U48" s="15" t="n"/>
      <c r="V48" s="15" t="n"/>
      <c r="W48" s="14" t="n">
        <v>40.02</v>
      </c>
      <c r="X48" s="14" t="n">
        <v>143887</v>
      </c>
      <c r="Y48" s="14" t="n">
        <v>17.48</v>
      </c>
      <c r="Z48" s="14" t="n">
        <v>87400</v>
      </c>
      <c r="AA48" s="14" t="n">
        <v>3.85</v>
      </c>
      <c r="AB48" s="14" t="n">
        <v>13842</v>
      </c>
      <c r="AC48" s="14" t="n">
        <v>24553</v>
      </c>
      <c r="AD48" s="16" t="n">
        <v>0.2809</v>
      </c>
      <c r="AE48" s="15" t="n"/>
      <c r="AF48" s="15" t="n"/>
      <c r="AG48" s="15" t="n"/>
      <c r="AH48" s="15" t="n"/>
      <c r="AI48" s="15" t="n"/>
    </row>
    <row r="49">
      <c r="A49" s="13" t="inlineStr">
        <is>
          <t>Emeralds JEM 5600</t>
        </is>
      </c>
      <c r="B49" s="14" t="n">
        <v>2.84</v>
      </c>
      <c r="C49" s="14" t="n">
        <v>11348</v>
      </c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4" t="n">
        <v>2.84</v>
      </c>
      <c r="O49" s="14" t="n">
        <v>11348</v>
      </c>
      <c r="P49" s="14" t="n">
        <v>3996</v>
      </c>
      <c r="Q49" s="15" t="n"/>
      <c r="R49" s="15" t="n"/>
      <c r="S49" s="15" t="n"/>
      <c r="T49" s="15" t="n"/>
      <c r="U49" s="15" t="n"/>
      <c r="V49" s="15" t="n"/>
      <c r="W49" s="15" t="n"/>
      <c r="X49" s="15" t="n"/>
      <c r="Y49" s="14" t="n">
        <v>2.84</v>
      </c>
      <c r="Z49" s="14" t="n">
        <v>15904</v>
      </c>
      <c r="AA49" s="14" t="n">
        <v>0</v>
      </c>
      <c r="AB49" s="14" t="n">
        <v>0</v>
      </c>
      <c r="AC49" s="14" t="n">
        <v>4556</v>
      </c>
      <c r="AD49" s="16" t="n">
        <v>0.2865</v>
      </c>
      <c r="AE49" s="15" t="n"/>
      <c r="AF49" s="15" t="n"/>
      <c r="AG49" s="15" t="n"/>
      <c r="AH49" s="15" t="n"/>
      <c r="AI49" s="15" t="n"/>
    </row>
    <row r="50">
      <c r="A50" s="13" t="inlineStr">
        <is>
          <t>Emeralds JEM 5900</t>
        </is>
      </c>
      <c r="B50" s="14" t="n">
        <v>0.79</v>
      </c>
      <c r="C50" s="14" t="n">
        <v>4610</v>
      </c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4" t="n">
        <v>0.79</v>
      </c>
      <c r="O50" s="14" t="n">
        <v>4610</v>
      </c>
      <c r="P50" s="14" t="n">
        <v>5835</v>
      </c>
      <c r="Q50" s="15" t="n"/>
      <c r="R50" s="15" t="n"/>
      <c r="S50" s="15" t="n"/>
      <c r="T50" s="15" t="n"/>
      <c r="U50" s="15" t="n"/>
      <c r="V50" s="15" t="n"/>
      <c r="W50" s="15" t="n"/>
      <c r="X50" s="15" t="n"/>
      <c r="Y50" s="14" t="n">
        <v>0.79</v>
      </c>
      <c r="Z50" s="14" t="n">
        <v>4661</v>
      </c>
      <c r="AA50" s="14" t="n">
        <v>0</v>
      </c>
      <c r="AB50" s="14" t="n">
        <v>0</v>
      </c>
      <c r="AC50" s="14" t="n">
        <v>51</v>
      </c>
      <c r="AD50" s="16" t="n">
        <v>0.0109</v>
      </c>
      <c r="AE50" s="15" t="n"/>
      <c r="AF50" s="15" t="n"/>
      <c r="AG50" s="15" t="n"/>
      <c r="AH50" s="15" t="n"/>
      <c r="AI50" s="15" t="n"/>
    </row>
    <row r="51">
      <c r="A51" s="13" t="inlineStr">
        <is>
          <t>Emeralds JEM 6000</t>
        </is>
      </c>
      <c r="B51" s="14" t="n">
        <v>44.36</v>
      </c>
      <c r="C51" s="14" t="n">
        <v>190928</v>
      </c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4" t="n">
        <v>44.36</v>
      </c>
      <c r="O51" s="14" t="n">
        <v>190928</v>
      </c>
      <c r="P51" s="14" t="n">
        <v>4304</v>
      </c>
      <c r="Q51" s="15" t="n"/>
      <c r="R51" s="15" t="n"/>
      <c r="S51" s="14" t="n">
        <v>30.06</v>
      </c>
      <c r="T51" s="14" t="n">
        <v>129380</v>
      </c>
      <c r="U51" s="15" t="n"/>
      <c r="V51" s="15" t="n"/>
      <c r="W51" s="14" t="n">
        <v>30.06</v>
      </c>
      <c r="X51" s="14" t="n">
        <v>129380</v>
      </c>
      <c r="Y51" s="14" t="n">
        <v>10.48</v>
      </c>
      <c r="Z51" s="14" t="n">
        <v>62880</v>
      </c>
      <c r="AA51" s="14" t="n">
        <v>3.82</v>
      </c>
      <c r="AB51" s="14" t="n">
        <v>16442</v>
      </c>
      <c r="AC51" s="14" t="n">
        <v>17773</v>
      </c>
      <c r="AD51" s="16" t="n">
        <v>0.2827</v>
      </c>
      <c r="AE51" s="15" t="n"/>
      <c r="AF51" s="15" t="n"/>
      <c r="AG51" s="15" t="n"/>
      <c r="AH51" s="15" t="n"/>
      <c r="AI51" s="15" t="n"/>
    </row>
    <row r="52">
      <c r="A52" s="13" t="inlineStr">
        <is>
          <t>Emeralds JEM 6500</t>
        </is>
      </c>
      <c r="B52" s="14" t="n">
        <v>39.27</v>
      </c>
      <c r="C52" s="14" t="n">
        <v>196559</v>
      </c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4" t="n">
        <v>39.27</v>
      </c>
      <c r="O52" s="14" t="n">
        <v>196559</v>
      </c>
      <c r="P52" s="14" t="n">
        <v>5005</v>
      </c>
      <c r="Q52" s="15" t="n"/>
      <c r="R52" s="15" t="n"/>
      <c r="S52" s="14" t="n">
        <v>25</v>
      </c>
      <c r="T52" s="14" t="n">
        <v>125133</v>
      </c>
      <c r="U52" s="15" t="n"/>
      <c r="V52" s="15" t="n"/>
      <c r="W52" s="14" t="n">
        <v>25</v>
      </c>
      <c r="X52" s="14" t="n">
        <v>125133</v>
      </c>
      <c r="Y52" s="14" t="n">
        <v>7.46</v>
      </c>
      <c r="Z52" s="14" t="n">
        <v>48490</v>
      </c>
      <c r="AA52" s="14" t="n">
        <v>6.81</v>
      </c>
      <c r="AB52" s="14" t="n">
        <v>34086</v>
      </c>
      <c r="AC52" s="14" t="n">
        <v>11150</v>
      </c>
      <c r="AD52" s="16" t="n">
        <v>0.23</v>
      </c>
      <c r="AE52" s="15" t="n"/>
      <c r="AF52" s="15" t="n"/>
      <c r="AG52" s="15" t="n"/>
      <c r="AH52" s="15" t="n"/>
      <c r="AI52" s="15" t="n"/>
    </row>
    <row r="53">
      <c r="A53" s="13" t="inlineStr">
        <is>
          <t>Emeralds JEM 7000</t>
        </is>
      </c>
      <c r="B53" s="14" t="n">
        <v>38.54</v>
      </c>
      <c r="C53" s="14" t="n">
        <v>269780</v>
      </c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4" t="n">
        <v>38.54</v>
      </c>
      <c r="O53" s="14" t="n">
        <v>269780</v>
      </c>
      <c r="P53" s="14" t="n">
        <v>7000</v>
      </c>
      <c r="Q53" s="15" t="n"/>
      <c r="R53" s="15" t="n"/>
      <c r="S53" s="14" t="n">
        <v>30.03</v>
      </c>
      <c r="T53" s="14" t="n">
        <v>210210</v>
      </c>
      <c r="U53" s="15" t="n"/>
      <c r="V53" s="15" t="n"/>
      <c r="W53" s="14" t="n">
        <v>30.03</v>
      </c>
      <c r="X53" s="14" t="n">
        <v>210210</v>
      </c>
      <c r="Y53" s="14" t="n">
        <v>8.51</v>
      </c>
      <c r="Z53" s="14" t="n">
        <v>59570</v>
      </c>
      <c r="AA53" s="14" t="n">
        <v>0</v>
      </c>
      <c r="AB53" s="14" t="n">
        <v>0</v>
      </c>
      <c r="AC53" s="14" t="n">
        <v>0</v>
      </c>
      <c r="AD53" s="16" t="n">
        <v>0</v>
      </c>
      <c r="AE53" s="15" t="n"/>
      <c r="AF53" s="15" t="n"/>
      <c r="AG53" s="15" t="n"/>
      <c r="AH53" s="15" t="n"/>
      <c r="AI53" s="15" t="n"/>
    </row>
    <row r="54">
      <c r="A54" s="13" t="inlineStr">
        <is>
          <t>Emeralds JEM 7500</t>
        </is>
      </c>
      <c r="B54" s="14" t="n">
        <v>99.87</v>
      </c>
      <c r="C54" s="14" t="n">
        <v>694367</v>
      </c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4" t="n">
        <v>99.87</v>
      </c>
      <c r="O54" s="14" t="n">
        <v>694367</v>
      </c>
      <c r="P54" s="14" t="n">
        <v>6953</v>
      </c>
      <c r="Q54" s="15" t="n"/>
      <c r="R54" s="15" t="n"/>
      <c r="S54" s="14" t="n">
        <v>75.06</v>
      </c>
      <c r="T54" s="14" t="n">
        <v>521870</v>
      </c>
      <c r="U54" s="15" t="n"/>
      <c r="V54" s="15" t="n"/>
      <c r="W54" s="14" t="n">
        <v>75.06</v>
      </c>
      <c r="X54" s="14" t="n">
        <v>521870</v>
      </c>
      <c r="Y54" s="14" t="n">
        <v>21.63</v>
      </c>
      <c r="Z54" s="14" t="n">
        <v>162225</v>
      </c>
      <c r="AA54" s="14" t="n">
        <v>3.18</v>
      </c>
      <c r="AB54" s="14" t="n">
        <v>22110</v>
      </c>
      <c r="AC54" s="14" t="n">
        <v>11838</v>
      </c>
      <c r="AD54" s="16" t="n">
        <v>0.073</v>
      </c>
      <c r="AE54" s="15" t="n"/>
      <c r="AF54" s="15" t="n"/>
      <c r="AG54" s="15" t="n"/>
      <c r="AH54" s="15" t="n"/>
      <c r="AI54" s="15" t="n"/>
    </row>
    <row r="55">
      <c r="A55" s="13" t="inlineStr">
        <is>
          <t>Emeralds JEM 8000</t>
        </is>
      </c>
      <c r="B55" s="14" t="n">
        <v>30.77</v>
      </c>
      <c r="C55" s="14" t="n">
        <v>177341</v>
      </c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4" t="n">
        <v>30.77</v>
      </c>
      <c r="O55" s="14" t="n">
        <v>177341</v>
      </c>
      <c r="P55" s="14" t="n">
        <v>5763</v>
      </c>
      <c r="Q55" s="15" t="n"/>
      <c r="R55" s="15" t="n"/>
      <c r="S55" s="14" t="n">
        <v>25.08</v>
      </c>
      <c r="T55" s="14" t="n">
        <v>144547</v>
      </c>
      <c r="U55" s="15" t="n"/>
      <c r="V55" s="15" t="n"/>
      <c r="W55" s="14" t="n">
        <v>25.08</v>
      </c>
      <c r="X55" s="14" t="n">
        <v>144547</v>
      </c>
      <c r="Y55" s="14" t="n">
        <v>3.35</v>
      </c>
      <c r="Z55" s="14" t="n">
        <v>26800</v>
      </c>
      <c r="AA55" s="14" t="n">
        <v>2.34</v>
      </c>
      <c r="AB55" s="14" t="n">
        <v>13486</v>
      </c>
      <c r="AC55" s="14" t="n">
        <v>7492</v>
      </c>
      <c r="AD55" s="16" t="n">
        <v>0.2796</v>
      </c>
      <c r="AE55" s="15" t="n"/>
      <c r="AF55" s="15" t="n"/>
      <c r="AG55" s="15" t="n"/>
      <c r="AH55" s="15" t="n"/>
      <c r="AI55" s="15" t="n"/>
    </row>
    <row r="56">
      <c r="A56" s="13" t="inlineStr">
        <is>
          <t>Emeralds JEM 8500</t>
        </is>
      </c>
      <c r="B56" s="14" t="n">
        <v>5.77</v>
      </c>
      <c r="C56" s="14" t="n">
        <v>45590</v>
      </c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4" t="n">
        <v>5.77</v>
      </c>
      <c r="O56" s="14" t="n">
        <v>45590</v>
      </c>
      <c r="P56" s="14" t="n">
        <v>7901</v>
      </c>
      <c r="Q56" s="15" t="n"/>
      <c r="R56" s="15" t="n"/>
      <c r="S56" s="15" t="n"/>
      <c r="T56" s="15" t="n"/>
      <c r="U56" s="15" t="n"/>
      <c r="V56" s="15" t="n"/>
      <c r="W56" s="15" t="n"/>
      <c r="X56" s="15" t="n"/>
      <c r="Y56" s="14" t="n">
        <v>5.77</v>
      </c>
      <c r="Z56" s="14" t="n">
        <v>49045</v>
      </c>
      <c r="AA56" s="14" t="n">
        <v>0</v>
      </c>
      <c r="AB56" s="14" t="n">
        <v>0</v>
      </c>
      <c r="AC56" s="14" t="n">
        <v>3455</v>
      </c>
      <c r="AD56" s="16" t="n">
        <v>0.0704</v>
      </c>
      <c r="AE56" s="15" t="n"/>
      <c r="AF56" s="15" t="n"/>
      <c r="AG56" s="15" t="n"/>
      <c r="AH56" s="15" t="n"/>
      <c r="AI56" s="15" t="n"/>
    </row>
    <row r="57">
      <c r="A57" s="13" t="inlineStr">
        <is>
          <t>Emeralds JEM 10500</t>
        </is>
      </c>
      <c r="B57" s="14" t="n">
        <v>44.57</v>
      </c>
      <c r="C57" s="14" t="n">
        <v>337272</v>
      </c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4" t="n">
        <v>44.57</v>
      </c>
      <c r="O57" s="14" t="n">
        <v>337272</v>
      </c>
      <c r="P57" s="14" t="n">
        <v>7567</v>
      </c>
      <c r="Q57" s="15" t="n"/>
      <c r="R57" s="15" t="n"/>
      <c r="S57" s="14" t="n">
        <v>35.06</v>
      </c>
      <c r="T57" s="14" t="n">
        <v>265308</v>
      </c>
      <c r="U57" s="15" t="n"/>
      <c r="V57" s="15" t="n"/>
      <c r="W57" s="14" t="n">
        <v>35.06</v>
      </c>
      <c r="X57" s="14" t="n">
        <v>265308</v>
      </c>
      <c r="Y57" s="15" t="n"/>
      <c r="Z57" s="15" t="n"/>
      <c r="AA57" s="14" t="n">
        <v>9.51</v>
      </c>
      <c r="AB57" s="14" t="n">
        <v>71964</v>
      </c>
      <c r="AC57" s="14" t="n">
        <v>-0</v>
      </c>
      <c r="AD57" s="16" t="n">
        <v>0</v>
      </c>
      <c r="AE57" s="15" t="n"/>
      <c r="AF57" s="15" t="n"/>
      <c r="AG57" s="15" t="n"/>
      <c r="AH57" s="15" t="n"/>
      <c r="AI57" s="15" t="n"/>
    </row>
    <row r="58">
      <c r="A58" s="13" t="inlineStr">
        <is>
          <t>Emeralds JEM 11500</t>
        </is>
      </c>
      <c r="B58" s="14" t="n">
        <v>3.46</v>
      </c>
      <c r="C58" s="14" t="n">
        <v>27857</v>
      </c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4" t="n">
        <v>3.46</v>
      </c>
      <c r="O58" s="14" t="n">
        <v>27857</v>
      </c>
      <c r="P58" s="14" t="n">
        <v>8051</v>
      </c>
      <c r="Q58" s="15" t="n"/>
      <c r="R58" s="15" t="n"/>
      <c r="S58" s="15" t="n"/>
      <c r="T58" s="15" t="n"/>
      <c r="U58" s="15" t="n"/>
      <c r="V58" s="15" t="n"/>
      <c r="W58" s="15" t="n"/>
      <c r="X58" s="15" t="n"/>
      <c r="Y58" s="14" t="n">
        <v>0.64</v>
      </c>
      <c r="Z58" s="14" t="n">
        <v>7360</v>
      </c>
      <c r="AA58" s="14" t="n">
        <v>2.82</v>
      </c>
      <c r="AB58" s="14" t="n">
        <v>22704</v>
      </c>
      <c r="AC58" s="14" t="n">
        <v>2207</v>
      </c>
      <c r="AD58" s="16" t="n">
        <v>0.2999</v>
      </c>
      <c r="AE58" s="15" t="n"/>
      <c r="AF58" s="15" t="n"/>
      <c r="AG58" s="15" t="n"/>
      <c r="AH58" s="15" t="n"/>
      <c r="AI58" s="15" t="n"/>
    </row>
    <row r="59">
      <c r="A59" s="13" t="inlineStr">
        <is>
          <t>Emeralds JEM 14500</t>
        </is>
      </c>
      <c r="B59" s="14" t="n">
        <v>9.25</v>
      </c>
      <c r="C59" s="14" t="n">
        <v>101792</v>
      </c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4" t="n">
        <v>9.25</v>
      </c>
      <c r="O59" s="14" t="n">
        <v>101792</v>
      </c>
      <c r="P59" s="14" t="n">
        <v>11005</v>
      </c>
      <c r="Q59" s="15" t="n"/>
      <c r="R59" s="15" t="n"/>
      <c r="S59" s="15" t="n"/>
      <c r="T59" s="15" t="n"/>
      <c r="U59" s="15" t="n"/>
      <c r="V59" s="15" t="n"/>
      <c r="W59" s="15" t="n"/>
      <c r="X59" s="15" t="n"/>
      <c r="Y59" s="15" t="n"/>
      <c r="Z59" s="15" t="n"/>
      <c r="AA59" s="14" t="n">
        <v>9.25</v>
      </c>
      <c r="AB59" s="14" t="n">
        <v>101792</v>
      </c>
      <c r="AC59" s="14" t="n">
        <v>-0</v>
      </c>
      <c r="AD59" s="16" t="n">
        <v>0</v>
      </c>
      <c r="AE59" s="15" t="n"/>
      <c r="AF59" s="15" t="n"/>
      <c r="AG59" s="15" t="n"/>
      <c r="AH59" s="15" t="n"/>
      <c r="AI59" s="15" t="n"/>
    </row>
    <row r="60">
      <c r="A60" s="13" t="inlineStr">
        <is>
          <t>Emeralds JEM 24000</t>
        </is>
      </c>
      <c r="B60" s="14" t="n">
        <v>0.98</v>
      </c>
      <c r="C60" s="14" t="n">
        <v>16160</v>
      </c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4" t="n">
        <v>0.98</v>
      </c>
      <c r="O60" s="14" t="n">
        <v>16160</v>
      </c>
      <c r="P60" s="14" t="n">
        <v>16490</v>
      </c>
      <c r="Q60" s="15" t="n"/>
      <c r="R60" s="15" t="n"/>
      <c r="S60" s="15" t="n"/>
      <c r="T60" s="15" t="n"/>
      <c r="U60" s="15" t="n"/>
      <c r="V60" s="15" t="n"/>
      <c r="W60" s="15" t="n"/>
      <c r="X60" s="15" t="n"/>
      <c r="Y60" s="14" t="n">
        <v>0.98</v>
      </c>
      <c r="Z60" s="14" t="n">
        <v>23520</v>
      </c>
      <c r="AA60" s="14" t="n">
        <v>0</v>
      </c>
      <c r="AB60" s="14" t="n">
        <v>0</v>
      </c>
      <c r="AC60" s="14" t="n">
        <v>7360</v>
      </c>
      <c r="AD60" s="16" t="n">
        <v>0.3129</v>
      </c>
      <c r="AE60" s="15" t="n"/>
      <c r="AF60" s="15" t="n"/>
      <c r="AG60" s="15" t="n"/>
      <c r="AH60" s="15" t="n"/>
      <c r="AI60" s="15" t="n"/>
    </row>
    <row r="61">
      <c r="A61" s="21" t="inlineStr">
        <is>
          <t>GRAND TOTAL</t>
        </is>
      </c>
      <c r="B61" s="22" t="n">
        <v>12561.88</v>
      </c>
      <c r="C61" s="22" t="n">
        <v>4745374</v>
      </c>
      <c r="D61" s="22">
        <f>SUM(D10:D60)</f>
        <v/>
      </c>
      <c r="E61" s="22">
        <f>SUM(E10:E60)</f>
        <v/>
      </c>
      <c r="F61" s="22">
        <f>SUM(F10:F60)</f>
        <v/>
      </c>
      <c r="G61" s="22">
        <f>SUM(G10:G60)</f>
        <v/>
      </c>
      <c r="H61" s="22" t="n">
        <v>7251.02</v>
      </c>
      <c r="I61" s="22" t="n">
        <v>41797</v>
      </c>
      <c r="J61" s="22">
        <f>SUM(J10:J60)</f>
        <v/>
      </c>
      <c r="K61" s="22">
        <f>SUM(K10:K60)</f>
        <v/>
      </c>
      <c r="L61" s="22" t="n">
        <v>7251.02</v>
      </c>
      <c r="M61" s="22" t="n">
        <v>41797</v>
      </c>
      <c r="N61" s="22" t="n">
        <v>19812.90000000001</v>
      </c>
      <c r="O61" s="22" t="n">
        <v>4787171</v>
      </c>
      <c r="P61" s="22" t="n">
        <v>242</v>
      </c>
      <c r="Q61" s="22">
        <f>SUM(Q10:Q60)</f>
        <v/>
      </c>
      <c r="R61" s="22">
        <f>SUM(R10:R60)</f>
        <v/>
      </c>
      <c r="S61" s="22" t="n">
        <v>4665.680000000002</v>
      </c>
      <c r="T61" s="22" t="n">
        <v>2210414</v>
      </c>
      <c r="U61" s="22">
        <f>SUM(U10:U60)</f>
        <v/>
      </c>
      <c r="V61" s="22">
        <f>SUM(V10:V60)</f>
        <v/>
      </c>
      <c r="W61" s="22" t="n">
        <v>4665.680000000002</v>
      </c>
      <c r="X61" s="22" t="n">
        <v>2210414</v>
      </c>
      <c r="Y61" s="22" t="n">
        <v>4145.790000000002</v>
      </c>
      <c r="Z61" s="22" t="n">
        <v>2596587</v>
      </c>
      <c r="AA61" s="22" t="n">
        <v>11001.43</v>
      </c>
      <c r="AB61" s="22" t="n">
        <v>734118</v>
      </c>
      <c r="AC61" s="22" t="n">
        <v>753948</v>
      </c>
      <c r="AD61" s="23" t="n">
        <v>0.2904</v>
      </c>
      <c r="AE61" s="22">
        <f>SUM(AE10:AE60)</f>
        <v/>
      </c>
      <c r="AF61" s="22">
        <f>SUM(AF10:AF60)</f>
        <v/>
      </c>
      <c r="AG61" s="22">
        <f>SUM(AG10:AG60)</f>
        <v/>
      </c>
      <c r="AH61" s="22">
        <f>SUM(AH10:AH60)</f>
        <v/>
      </c>
      <c r="AI61" s="24" t="n"/>
    </row>
  </sheetData>
  <mergeCells count="23">
    <mergeCell ref="Q7:R7"/>
    <mergeCell ref="L7:M7"/>
    <mergeCell ref="F6:M6"/>
    <mergeCell ref="F7:G7"/>
    <mergeCell ref="D6:E6"/>
    <mergeCell ref="AA6:AB6"/>
    <mergeCell ref="S7:T7"/>
    <mergeCell ref="A1:AI1"/>
    <mergeCell ref="A6:A9"/>
    <mergeCell ref="U7:V7"/>
    <mergeCell ref="W7:X7"/>
    <mergeCell ref="H7:I7"/>
    <mergeCell ref="Q6:X6"/>
    <mergeCell ref="J7:K7"/>
    <mergeCell ref="Y6:Z6"/>
    <mergeCell ref="A3:AI3"/>
    <mergeCell ref="A2:AI2"/>
    <mergeCell ref="B6:C6"/>
    <mergeCell ref="AC6:AD6"/>
    <mergeCell ref="N6:O6"/>
    <mergeCell ref="AE6:AF6"/>
    <mergeCell ref="A4:AI4"/>
    <mergeCell ref="AG6:AI6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37"/>
  <sheetViews>
    <sheetView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</cols>
  <sheetData>
    <row r="1" ht="22" customHeight="1">
      <c r="A1" s="1" t="inlineStr">
        <is>
          <t>Company Name</t>
        </is>
      </c>
    </row>
    <row r="2">
      <c r="A2" s="2" t="inlineStr">
        <is>
          <t>Address</t>
        </is>
      </c>
    </row>
    <row r="3">
      <c r="A3" s="2" t="inlineStr">
        <is>
          <t>Financial Year: AY 2025-26</t>
        </is>
      </c>
    </row>
    <row r="4" ht="20" customHeight="1">
      <c r="A4" s="3" t="inlineStr">
        <is>
          <t>DETAILS OF JEWELS CLOSING STOCK - PEARLS</t>
        </is>
      </c>
    </row>
    <row r="6" ht="28" customHeight="1">
      <c r="A6" s="4" t="inlineStr">
        <is>
          <t>Particulars / Product</t>
        </is>
      </c>
      <c r="B6" s="4" t="inlineStr">
        <is>
          <t>Opening Stock</t>
        </is>
      </c>
      <c r="C6" s="5" t="n"/>
      <c r="D6" s="4" t="inlineStr">
        <is>
          <t>Purchases</t>
        </is>
      </c>
      <c r="E6" s="5" t="n"/>
      <c r="F6" s="4" t="inlineStr">
        <is>
          <t>Receipts</t>
        </is>
      </c>
      <c r="G6" s="5" t="n"/>
      <c r="H6" s="5" t="n"/>
      <c r="I6" s="5" t="n"/>
      <c r="J6" s="5" t="n"/>
      <c r="K6" s="5" t="n"/>
      <c r="L6" s="5" t="n"/>
      <c r="M6" s="5" t="n"/>
      <c r="N6" s="4" t="inlineStr">
        <is>
          <t>Total</t>
        </is>
      </c>
      <c r="O6" s="5" t="n"/>
      <c r="P6" s="4" t="inlineStr">
        <is>
          <t>Average Rate</t>
        </is>
      </c>
      <c r="Q6" s="4" t="inlineStr">
        <is>
          <t>Issues</t>
        </is>
      </c>
      <c r="R6" s="5" t="n"/>
      <c r="S6" s="5" t="n"/>
      <c r="T6" s="5" t="n"/>
      <c r="U6" s="5" t="n"/>
      <c r="V6" s="5" t="n"/>
      <c r="W6" s="5" t="n"/>
      <c r="X6" s="5" t="n"/>
      <c r="Y6" s="4" t="inlineStr">
        <is>
          <t>Sales</t>
        </is>
      </c>
      <c r="Z6" s="5" t="n"/>
      <c r="AA6" s="4" t="inlineStr">
        <is>
          <t>Closing Stock</t>
        </is>
      </c>
      <c r="AB6" s="5" t="n"/>
      <c r="AC6" s="4" t="inlineStr">
        <is>
          <t>Gross Profit</t>
        </is>
      </c>
      <c r="AD6" s="5" t="n"/>
      <c r="AE6" s="4" t="inlineStr">
        <is>
          <t>GP AY 2025-26</t>
        </is>
      </c>
      <c r="AF6" s="5" t="n"/>
      <c r="AG6" s="4" t="inlineStr">
        <is>
          <t>Deviation</t>
        </is>
      </c>
      <c r="AH6" s="5" t="n"/>
      <c r="AI6" s="5" t="n"/>
    </row>
    <row r="7" ht="28" customHeight="1">
      <c r="A7" s="6" t="n"/>
      <c r="B7" s="7" t="inlineStr"/>
      <c r="C7" s="7" t="inlineStr"/>
      <c r="D7" s="7" t="inlineStr"/>
      <c r="E7" s="7" t="inlineStr"/>
      <c r="F7" s="8" t="inlineStr">
        <is>
          <t>Internal Stock Transfer</t>
        </is>
      </c>
      <c r="G7" s="7" t="n"/>
      <c r="H7" s="8" t="inlineStr">
        <is>
          <t>Jubilee Hills</t>
        </is>
      </c>
      <c r="I7" s="7" t="n"/>
      <c r="J7" s="8" t="inlineStr">
        <is>
          <t>Kokapet</t>
        </is>
      </c>
      <c r="K7" s="7" t="n"/>
      <c r="L7" s="8" t="inlineStr">
        <is>
          <t>Receipts</t>
        </is>
      </c>
      <c r="M7" s="7" t="n"/>
      <c r="N7" s="7" t="inlineStr"/>
      <c r="O7" s="7" t="inlineStr"/>
      <c r="P7" s="7" t="inlineStr"/>
      <c r="Q7" s="8" t="inlineStr">
        <is>
          <t>Internal Stock Transfer</t>
        </is>
      </c>
      <c r="R7" s="7" t="n"/>
      <c r="S7" s="8" t="inlineStr">
        <is>
          <t>Jubilee Hills</t>
        </is>
      </c>
      <c r="T7" s="7" t="n"/>
      <c r="U7" s="8" t="inlineStr">
        <is>
          <t>Kokapet</t>
        </is>
      </c>
      <c r="V7" s="7" t="n"/>
      <c r="W7" s="8" t="inlineStr">
        <is>
          <t>Total</t>
        </is>
      </c>
      <c r="X7" s="7" t="n"/>
      <c r="Y7" s="7" t="inlineStr"/>
      <c r="Z7" s="7" t="inlineStr"/>
      <c r="AA7" s="7" t="inlineStr"/>
      <c r="AB7" s="7" t="inlineStr"/>
      <c r="AC7" s="7" t="inlineStr"/>
      <c r="AD7" s="7" t="inlineStr"/>
      <c r="AE7" s="7" t="inlineStr"/>
      <c r="AF7" s="7" t="inlineStr"/>
      <c r="AG7" s="7" t="inlineStr"/>
      <c r="AH7" s="7" t="inlineStr"/>
      <c r="AI7" s="7" t="inlineStr"/>
    </row>
    <row r="8" ht="28" customHeight="1">
      <c r="A8" s="6" t="n"/>
      <c r="B8" s="9" t="inlineStr">
        <is>
          <t>Qty</t>
        </is>
      </c>
      <c r="C8" s="9" t="inlineStr">
        <is>
          <t>Amt.</t>
        </is>
      </c>
      <c r="D8" s="9" t="inlineStr">
        <is>
          <t>Qty</t>
        </is>
      </c>
      <c r="E8" s="9" t="inlineStr">
        <is>
          <t>Amt.</t>
        </is>
      </c>
      <c r="F8" s="9" t="inlineStr">
        <is>
          <t>Qty</t>
        </is>
      </c>
      <c r="G8" s="9" t="inlineStr">
        <is>
          <t>Amt.</t>
        </is>
      </c>
      <c r="H8" s="9" t="inlineStr">
        <is>
          <t>Qty</t>
        </is>
      </c>
      <c r="I8" s="9" t="inlineStr">
        <is>
          <t>Amt.</t>
        </is>
      </c>
      <c r="J8" s="9" t="inlineStr">
        <is>
          <t>Qty</t>
        </is>
      </c>
      <c r="K8" s="9" t="inlineStr">
        <is>
          <t>Amt.</t>
        </is>
      </c>
      <c r="L8" s="9" t="inlineStr">
        <is>
          <t>Qty</t>
        </is>
      </c>
      <c r="M8" s="9" t="inlineStr">
        <is>
          <t>Amt.</t>
        </is>
      </c>
      <c r="N8" s="9" t="inlineStr">
        <is>
          <t>Qty</t>
        </is>
      </c>
      <c r="O8" s="9" t="inlineStr">
        <is>
          <t>Amt.</t>
        </is>
      </c>
      <c r="P8" s="9" t="inlineStr">
        <is>
          <t>Amt.</t>
        </is>
      </c>
      <c r="Q8" s="9" t="inlineStr">
        <is>
          <t>Qty</t>
        </is>
      </c>
      <c r="R8" s="9" t="inlineStr">
        <is>
          <t>Amt.</t>
        </is>
      </c>
      <c r="S8" s="9" t="inlineStr">
        <is>
          <t>Qty</t>
        </is>
      </c>
      <c r="T8" s="9" t="inlineStr">
        <is>
          <t>Amt.</t>
        </is>
      </c>
      <c r="U8" s="9" t="inlineStr">
        <is>
          <t>Qty</t>
        </is>
      </c>
      <c r="V8" s="9" t="inlineStr">
        <is>
          <t>Amt.</t>
        </is>
      </c>
      <c r="W8" s="9" t="inlineStr">
        <is>
          <t>Qty</t>
        </is>
      </c>
      <c r="X8" s="9" t="inlineStr">
        <is>
          <t>Amt.</t>
        </is>
      </c>
      <c r="Y8" s="9" t="inlineStr">
        <is>
          <t>Qty</t>
        </is>
      </c>
      <c r="Z8" s="9" t="inlineStr">
        <is>
          <t>Amt.</t>
        </is>
      </c>
      <c r="AA8" s="9" t="inlineStr">
        <is>
          <t>Qty</t>
        </is>
      </c>
      <c r="AB8" s="9" t="inlineStr">
        <is>
          <t>Amt.</t>
        </is>
      </c>
      <c r="AC8" s="9" t="inlineStr">
        <is>
          <t>Amt.</t>
        </is>
      </c>
      <c r="AD8" s="9" t="inlineStr">
        <is>
          <t>%</t>
        </is>
      </c>
      <c r="AE8" s="9" t="inlineStr">
        <is>
          <t>Qty</t>
        </is>
      </c>
      <c r="AF8" s="9" t="inlineStr">
        <is>
          <t>Amt.</t>
        </is>
      </c>
      <c r="AG8" s="9" t="inlineStr">
        <is>
          <t>Qty</t>
        </is>
      </c>
      <c r="AH8" s="9" t="inlineStr">
        <is>
          <t>Amt.</t>
        </is>
      </c>
      <c r="AI8" s="9" t="inlineStr">
        <is>
          <t>%</t>
        </is>
      </c>
    </row>
    <row r="9" ht="28" customHeight="1">
      <c r="A9" s="6" t="n"/>
      <c r="B9" s="10" t="inlineStr">
        <is>
          <t>1</t>
        </is>
      </c>
      <c r="C9" s="10" t="inlineStr">
        <is>
          <t>2</t>
        </is>
      </c>
      <c r="D9" s="10" t="inlineStr">
        <is>
          <t>3</t>
        </is>
      </c>
      <c r="E9" s="10" t="inlineStr">
        <is>
          <t>4</t>
        </is>
      </c>
      <c r="F9" s="10" t="inlineStr">
        <is>
          <t>5</t>
        </is>
      </c>
      <c r="G9" s="10" t="inlineStr">
        <is>
          <t>6</t>
        </is>
      </c>
      <c r="H9" s="10" t="inlineStr">
        <is>
          <t>7</t>
        </is>
      </c>
      <c r="I9" s="10" t="inlineStr">
        <is>
          <t>8</t>
        </is>
      </c>
      <c r="J9" s="10" t="inlineStr">
        <is>
          <t>9</t>
        </is>
      </c>
      <c r="K9" s="10" t="inlineStr">
        <is>
          <t>10</t>
        </is>
      </c>
      <c r="L9" s="10" t="inlineStr">
        <is>
          <t>11</t>
        </is>
      </c>
      <c r="M9" s="10" t="inlineStr">
        <is>
          <t>12</t>
        </is>
      </c>
      <c r="N9" s="10" t="inlineStr">
        <is>
          <t>13</t>
        </is>
      </c>
      <c r="O9" s="10" t="inlineStr">
        <is>
          <t>14</t>
        </is>
      </c>
      <c r="P9" s="10" t="inlineStr">
        <is>
          <t>15</t>
        </is>
      </c>
      <c r="Q9" s="10" t="inlineStr">
        <is>
          <t>16</t>
        </is>
      </c>
      <c r="R9" s="10" t="inlineStr">
        <is>
          <t>17</t>
        </is>
      </c>
      <c r="S9" s="10" t="inlineStr">
        <is>
          <t>18</t>
        </is>
      </c>
      <c r="T9" s="10" t="inlineStr">
        <is>
          <t>19</t>
        </is>
      </c>
      <c r="U9" s="10" t="inlineStr">
        <is>
          <t>20</t>
        </is>
      </c>
      <c r="V9" s="10" t="inlineStr">
        <is>
          <t>21</t>
        </is>
      </c>
      <c r="W9" s="10" t="inlineStr">
        <is>
          <t>22</t>
        </is>
      </c>
      <c r="X9" s="10" t="inlineStr">
        <is>
          <t>23</t>
        </is>
      </c>
      <c r="Y9" s="10" t="inlineStr">
        <is>
          <t>24</t>
        </is>
      </c>
      <c r="Z9" s="10" t="inlineStr">
        <is>
          <t>25</t>
        </is>
      </c>
      <c r="AA9" s="10" t="inlineStr">
        <is>
          <t>26</t>
        </is>
      </c>
      <c r="AB9" s="10" t="inlineStr">
        <is>
          <t>27</t>
        </is>
      </c>
      <c r="AC9" s="10" t="inlineStr">
        <is>
          <t>28</t>
        </is>
      </c>
      <c r="AD9" s="10" t="inlineStr">
        <is>
          <t>29</t>
        </is>
      </c>
      <c r="AE9" s="10" t="inlineStr">
        <is>
          <t>30</t>
        </is>
      </c>
      <c r="AF9" s="10" t="inlineStr">
        <is>
          <t>31</t>
        </is>
      </c>
      <c r="AG9" s="10" t="inlineStr">
        <is>
          <t>32</t>
        </is>
      </c>
      <c r="AH9" s="10" t="inlineStr">
        <is>
          <t>33</t>
        </is>
      </c>
      <c r="AI9" s="10" t="inlineStr">
        <is>
          <t>34</t>
        </is>
      </c>
    </row>
    <row r="10">
      <c r="A10" s="13" t="inlineStr">
        <is>
          <t>Pearls JPS 50</t>
        </is>
      </c>
      <c r="B10" s="14" t="n">
        <v>0</v>
      </c>
      <c r="C10" s="15" t="n"/>
      <c r="D10" s="15" t="n"/>
      <c r="E10" s="15" t="n"/>
      <c r="F10" s="15" t="n"/>
      <c r="G10" s="15" t="n"/>
      <c r="H10" s="14" t="n">
        <v>37.094</v>
      </c>
      <c r="I10" s="14" t="n">
        <v>0</v>
      </c>
      <c r="J10" s="15" t="n"/>
      <c r="K10" s="15" t="n"/>
      <c r="L10" s="14" t="n">
        <v>37.094</v>
      </c>
      <c r="M10" s="14" t="n">
        <v>0</v>
      </c>
      <c r="N10" s="14" t="n">
        <v>37.094</v>
      </c>
      <c r="O10" s="14" t="n">
        <v>0</v>
      </c>
      <c r="P10" s="14" t="n">
        <v>0</v>
      </c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4" t="n">
        <v>37.094</v>
      </c>
      <c r="AB10" s="14" t="n">
        <v>0</v>
      </c>
      <c r="AC10" s="14" t="n">
        <v>0</v>
      </c>
      <c r="AD10" s="16" t="n">
        <v>0</v>
      </c>
      <c r="AE10" s="15" t="n"/>
      <c r="AF10" s="15" t="n"/>
      <c r="AG10" s="15" t="n"/>
      <c r="AH10" s="15" t="n"/>
      <c r="AI10" s="15" t="n"/>
    </row>
    <row r="11">
      <c r="A11" s="13" t="inlineStr">
        <is>
          <t>Pearls JPS 100</t>
        </is>
      </c>
      <c r="B11" s="14" t="n">
        <v>1024.082</v>
      </c>
      <c r="C11" s="14" t="n">
        <v>75574</v>
      </c>
      <c r="D11" s="15" t="n"/>
      <c r="E11" s="15" t="n"/>
      <c r="F11" s="15" t="n"/>
      <c r="G11" s="15" t="n"/>
      <c r="H11" s="14" t="n">
        <v>198.554</v>
      </c>
      <c r="I11" s="14" t="n">
        <v>336</v>
      </c>
      <c r="J11" s="15" t="n"/>
      <c r="K11" s="15" t="n"/>
      <c r="L11" s="14" t="n">
        <v>198.554</v>
      </c>
      <c r="M11" s="14" t="n">
        <v>336</v>
      </c>
      <c r="N11" s="14" t="n">
        <v>1222.636</v>
      </c>
      <c r="O11" s="14" t="n">
        <v>75910</v>
      </c>
      <c r="P11" s="14" t="n">
        <v>62</v>
      </c>
      <c r="Q11" s="15" t="n"/>
      <c r="R11" s="15" t="n"/>
      <c r="S11" s="15" t="n"/>
      <c r="T11" s="15" t="n"/>
      <c r="U11" s="15" t="n"/>
      <c r="V11" s="15" t="n"/>
      <c r="W11" s="15" t="n"/>
      <c r="X11" s="15" t="n"/>
      <c r="Y11" s="14" t="n">
        <v>1126.088</v>
      </c>
      <c r="Z11" s="14" t="n">
        <v>112609</v>
      </c>
      <c r="AA11" s="14" t="n">
        <v>96.548</v>
      </c>
      <c r="AB11" s="14" t="n">
        <v>5994</v>
      </c>
      <c r="AC11" s="14" t="n">
        <v>42693</v>
      </c>
      <c r="AD11" s="16" t="n">
        <v>0.3791</v>
      </c>
      <c r="AE11" s="15" t="n"/>
      <c r="AF11" s="15" t="n"/>
      <c r="AG11" s="15" t="n"/>
      <c r="AH11" s="15" t="n"/>
      <c r="AI11" s="15" t="n"/>
    </row>
    <row r="12">
      <c r="A12" s="13" t="inlineStr">
        <is>
          <t>Pearls JPS 150</t>
        </is>
      </c>
      <c r="B12" s="14" t="n">
        <v>20.552</v>
      </c>
      <c r="C12" s="14" t="n">
        <v>2064</v>
      </c>
      <c r="D12" s="15" t="n"/>
      <c r="E12" s="15" t="n"/>
      <c r="F12" s="15" t="n"/>
      <c r="G12" s="15" t="n"/>
      <c r="H12" s="14" t="n">
        <v>6.17</v>
      </c>
      <c r="I12" s="14" t="n">
        <v>3</v>
      </c>
      <c r="J12" s="15" t="n"/>
      <c r="K12" s="15" t="n"/>
      <c r="L12" s="14" t="n">
        <v>6.17</v>
      </c>
      <c r="M12" s="14" t="n">
        <v>3</v>
      </c>
      <c r="N12" s="14" t="n">
        <v>26.722</v>
      </c>
      <c r="O12" s="14" t="n">
        <v>2067</v>
      </c>
      <c r="P12" s="14" t="n">
        <v>77</v>
      </c>
      <c r="Q12" s="15" t="n"/>
      <c r="R12" s="15" t="n"/>
      <c r="S12" s="15" t="n"/>
      <c r="T12" s="15" t="n"/>
      <c r="U12" s="15" t="n"/>
      <c r="V12" s="15" t="n"/>
      <c r="W12" s="15" t="n"/>
      <c r="X12" s="15" t="n"/>
      <c r="Y12" s="14" t="n">
        <v>26.722</v>
      </c>
      <c r="Z12" s="14" t="n">
        <v>3933</v>
      </c>
      <c r="AA12" s="14" t="n">
        <v>0</v>
      </c>
      <c r="AB12" s="14" t="n">
        <v>0</v>
      </c>
      <c r="AC12" s="14" t="n">
        <v>1866</v>
      </c>
      <c r="AD12" s="16" t="n">
        <v>0.4745</v>
      </c>
      <c r="AE12" s="15" t="n"/>
      <c r="AF12" s="15" t="n"/>
      <c r="AG12" s="15" t="n"/>
      <c r="AH12" s="15" t="n"/>
      <c r="AI12" s="15" t="n"/>
    </row>
    <row r="13">
      <c r="A13" s="13" t="inlineStr">
        <is>
          <t>Pearls JPS 200</t>
        </is>
      </c>
      <c r="B13" s="14" t="n">
        <v>226.362</v>
      </c>
      <c r="C13" s="14" t="n">
        <v>31691</v>
      </c>
      <c r="D13" s="15" t="n"/>
      <c r="E13" s="15" t="n"/>
      <c r="F13" s="15" t="n"/>
      <c r="G13" s="15" t="n"/>
      <c r="H13" s="14" t="n">
        <v>457.214</v>
      </c>
      <c r="I13" s="14" t="n">
        <v>0</v>
      </c>
      <c r="J13" s="15" t="n"/>
      <c r="K13" s="15" t="n"/>
      <c r="L13" s="14" t="n">
        <v>457.214</v>
      </c>
      <c r="M13" s="14" t="n">
        <v>0</v>
      </c>
      <c r="N13" s="14" t="n">
        <v>683.576</v>
      </c>
      <c r="O13" s="14" t="n">
        <v>31691</v>
      </c>
      <c r="P13" s="14" t="n">
        <v>46</v>
      </c>
      <c r="Q13" s="15" t="n"/>
      <c r="R13" s="15" t="n"/>
      <c r="S13" s="15" t="n"/>
      <c r="T13" s="15" t="n"/>
      <c r="U13" s="15" t="n"/>
      <c r="V13" s="15" t="n"/>
      <c r="W13" s="15" t="n"/>
      <c r="X13" s="15" t="n"/>
      <c r="Y13" s="14" t="n">
        <v>467.154</v>
      </c>
      <c r="Z13" s="14" t="n">
        <v>93431</v>
      </c>
      <c r="AA13" s="14" t="n">
        <v>216.422</v>
      </c>
      <c r="AB13" s="14" t="n">
        <v>10033</v>
      </c>
      <c r="AC13" s="14" t="n">
        <v>71773</v>
      </c>
      <c r="AD13" s="16" t="n">
        <v>0.7682</v>
      </c>
      <c r="AE13" s="15" t="n"/>
      <c r="AF13" s="15" t="n"/>
      <c r="AG13" s="15" t="n"/>
      <c r="AH13" s="15" t="n"/>
      <c r="AI13" s="15" t="n"/>
    </row>
    <row r="14">
      <c r="A14" s="13" t="inlineStr">
        <is>
          <t>Pearls JPS 250</t>
        </is>
      </c>
      <c r="B14" s="14" t="n">
        <v>1814.425</v>
      </c>
      <c r="C14" s="14" t="n">
        <v>381029</v>
      </c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4" t="n">
        <v>1814.425</v>
      </c>
      <c r="O14" s="14" t="n">
        <v>381029</v>
      </c>
      <c r="P14" s="14" t="n">
        <v>210</v>
      </c>
      <c r="Q14" s="15" t="n"/>
      <c r="R14" s="15" t="n"/>
      <c r="S14" s="14" t="n">
        <v>704.396</v>
      </c>
      <c r="T14" s="14" t="n">
        <v>147923</v>
      </c>
      <c r="U14" s="15" t="n"/>
      <c r="V14" s="15" t="n"/>
      <c r="W14" s="14" t="n">
        <v>704.396</v>
      </c>
      <c r="X14" s="14" t="n">
        <v>147923</v>
      </c>
      <c r="Y14" s="14" t="n">
        <v>792.126</v>
      </c>
      <c r="Z14" s="14" t="n">
        <v>198032</v>
      </c>
      <c r="AA14" s="14" t="n">
        <v>317.903</v>
      </c>
      <c r="AB14" s="14" t="n">
        <v>66760</v>
      </c>
      <c r="AC14" s="14" t="n">
        <v>31686</v>
      </c>
      <c r="AD14" s="16" t="n">
        <v>0.16</v>
      </c>
      <c r="AE14" s="15" t="n"/>
      <c r="AF14" s="15" t="n"/>
      <c r="AG14" s="15" t="n"/>
      <c r="AH14" s="15" t="n"/>
      <c r="AI14" s="15" t="n"/>
    </row>
    <row r="15">
      <c r="A15" s="13" t="inlineStr">
        <is>
          <t>Pearls JPS 300</t>
        </is>
      </c>
      <c r="B15" s="14" t="n">
        <v>3.09</v>
      </c>
      <c r="C15" s="14" t="n">
        <v>620</v>
      </c>
      <c r="D15" s="15" t="n"/>
      <c r="E15" s="15" t="n"/>
      <c r="F15" s="15" t="n"/>
      <c r="G15" s="15" t="n"/>
      <c r="H15" s="14" t="n">
        <v>1529.131</v>
      </c>
      <c r="I15" s="14" t="n">
        <v>0</v>
      </c>
      <c r="J15" s="15" t="n"/>
      <c r="K15" s="15" t="n"/>
      <c r="L15" s="14" t="n">
        <v>1529.131</v>
      </c>
      <c r="M15" s="14" t="n">
        <v>0</v>
      </c>
      <c r="N15" s="14" t="n">
        <v>1532.221</v>
      </c>
      <c r="O15" s="14" t="n">
        <v>620</v>
      </c>
      <c r="P15" s="14" t="n">
        <v>0</v>
      </c>
      <c r="Q15" s="15" t="n"/>
      <c r="R15" s="15" t="n"/>
      <c r="S15" s="15" t="n"/>
      <c r="T15" s="15" t="n"/>
      <c r="U15" s="15" t="n"/>
      <c r="V15" s="15" t="n"/>
      <c r="W15" s="15" t="n"/>
      <c r="X15" s="15" t="n"/>
      <c r="Y15" s="14" t="n">
        <v>2.7</v>
      </c>
      <c r="Z15" s="14" t="n">
        <v>810</v>
      </c>
      <c r="AA15" s="14" t="n">
        <v>1529.521</v>
      </c>
      <c r="AB15" s="14" t="n">
        <v>619</v>
      </c>
      <c r="AC15" s="14" t="n">
        <v>809</v>
      </c>
      <c r="AD15" s="16" t="n">
        <v>0.9986</v>
      </c>
      <c r="AE15" s="15" t="n"/>
      <c r="AF15" s="15" t="n"/>
      <c r="AG15" s="15" t="n"/>
      <c r="AH15" s="15" t="n"/>
      <c r="AI15" s="15" t="n"/>
    </row>
    <row r="16">
      <c r="A16" s="13" t="inlineStr">
        <is>
          <t>Pearls JPS 350</t>
        </is>
      </c>
      <c r="B16" s="14" t="n">
        <v>37.766</v>
      </c>
      <c r="C16" s="14" t="n">
        <v>9488</v>
      </c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4" t="n">
        <v>37.766</v>
      </c>
      <c r="O16" s="14" t="n">
        <v>9488</v>
      </c>
      <c r="P16" s="14" t="n">
        <v>251</v>
      </c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4" t="n">
        <v>37.766</v>
      </c>
      <c r="AB16" s="14" t="n">
        <v>9488</v>
      </c>
      <c r="AC16" s="14" t="n">
        <v>0</v>
      </c>
      <c r="AD16" s="16" t="n">
        <v>0</v>
      </c>
      <c r="AE16" s="15" t="n"/>
      <c r="AF16" s="15" t="n"/>
      <c r="AG16" s="15" t="n"/>
      <c r="AH16" s="15" t="n"/>
      <c r="AI16" s="15" t="n"/>
    </row>
    <row r="17">
      <c r="A17" s="13" t="inlineStr">
        <is>
          <t>Pearls JPS 400</t>
        </is>
      </c>
      <c r="B17" s="14" t="n">
        <v>501.22</v>
      </c>
      <c r="C17" s="14" t="n">
        <v>149933</v>
      </c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4" t="n">
        <v>501.22</v>
      </c>
      <c r="O17" s="14" t="n">
        <v>149933</v>
      </c>
      <c r="P17" s="14" t="n">
        <v>299</v>
      </c>
      <c r="Q17" s="15" t="n"/>
      <c r="R17" s="15" t="n"/>
      <c r="S17" s="14" t="n">
        <v>357.666</v>
      </c>
      <c r="T17" s="14" t="n">
        <v>106991</v>
      </c>
      <c r="U17" s="15" t="n"/>
      <c r="V17" s="15" t="n"/>
      <c r="W17" s="14" t="n">
        <v>357.666</v>
      </c>
      <c r="X17" s="14" t="n">
        <v>106991</v>
      </c>
      <c r="Y17" s="14" t="n">
        <v>116.214</v>
      </c>
      <c r="Z17" s="14" t="n">
        <v>46486</v>
      </c>
      <c r="AA17" s="14" t="n">
        <v>27.34</v>
      </c>
      <c r="AB17" s="14" t="n">
        <v>8178</v>
      </c>
      <c r="AC17" s="14" t="n">
        <v>11722</v>
      </c>
      <c r="AD17" s="16" t="n">
        <v>0.2522</v>
      </c>
      <c r="AE17" s="15" t="n"/>
      <c r="AF17" s="15" t="n"/>
      <c r="AG17" s="15" t="n"/>
      <c r="AH17" s="15" t="n"/>
      <c r="AI17" s="15" t="n"/>
    </row>
    <row r="18">
      <c r="A18" s="13" t="inlineStr">
        <is>
          <t>Pearls JPS 450</t>
        </is>
      </c>
      <c r="B18" s="14" t="n">
        <v>48.43</v>
      </c>
      <c r="C18" s="14" t="n">
        <v>14529</v>
      </c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4" t="n">
        <v>48.43</v>
      </c>
      <c r="O18" s="14" t="n">
        <v>14529</v>
      </c>
      <c r="P18" s="14" t="n">
        <v>300</v>
      </c>
      <c r="Q18" s="15" t="n"/>
      <c r="R18" s="15" t="n"/>
      <c r="S18" s="15" t="n"/>
      <c r="T18" s="15" t="n"/>
      <c r="U18" s="15" t="n"/>
      <c r="V18" s="15" t="n"/>
      <c r="W18" s="15" t="n"/>
      <c r="X18" s="15" t="n"/>
      <c r="Y18" s="14" t="n">
        <v>32.02</v>
      </c>
      <c r="Z18" s="14" t="n">
        <v>14409</v>
      </c>
      <c r="AA18" s="14" t="n">
        <v>16.41</v>
      </c>
      <c r="AB18" s="14" t="n">
        <v>4923</v>
      </c>
      <c r="AC18" s="14" t="n">
        <v>4803</v>
      </c>
      <c r="AD18" s="16" t="n">
        <v>0.3333</v>
      </c>
      <c r="AE18" s="15" t="n"/>
      <c r="AF18" s="15" t="n"/>
      <c r="AG18" s="15" t="n"/>
      <c r="AH18" s="15" t="n"/>
      <c r="AI18" s="15" t="n"/>
    </row>
    <row r="19">
      <c r="A19" s="13" t="inlineStr">
        <is>
          <t>Pearls JPS 500</t>
        </is>
      </c>
      <c r="B19" s="14" t="n">
        <v>207.797</v>
      </c>
      <c r="C19" s="14" t="n">
        <v>74682</v>
      </c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4" t="n">
        <v>207.797</v>
      </c>
      <c r="O19" s="14" t="n">
        <v>74682</v>
      </c>
      <c r="P19" s="14" t="n">
        <v>359</v>
      </c>
      <c r="Q19" s="15" t="n"/>
      <c r="R19" s="15" t="n"/>
      <c r="S19" s="14" t="n">
        <v>176.16</v>
      </c>
      <c r="T19" s="14" t="n">
        <v>63312</v>
      </c>
      <c r="U19" s="15" t="n"/>
      <c r="V19" s="15" t="n"/>
      <c r="W19" s="14" t="n">
        <v>176.16</v>
      </c>
      <c r="X19" s="14" t="n">
        <v>63312</v>
      </c>
      <c r="Y19" s="14" t="n">
        <v>10.37</v>
      </c>
      <c r="Z19" s="14" t="n">
        <v>5185</v>
      </c>
      <c r="AA19" s="14" t="n">
        <v>21.267</v>
      </c>
      <c r="AB19" s="14" t="n">
        <v>7643</v>
      </c>
      <c r="AC19" s="14" t="n">
        <v>1458</v>
      </c>
      <c r="AD19" s="16" t="n">
        <v>0.2812</v>
      </c>
      <c r="AE19" s="15" t="n"/>
      <c r="AF19" s="15" t="n"/>
      <c r="AG19" s="15" t="n"/>
      <c r="AH19" s="15" t="n"/>
      <c r="AI19" s="15" t="n"/>
    </row>
    <row r="20">
      <c r="A20" s="13" t="inlineStr">
        <is>
          <t>Pearls JPS 550</t>
        </is>
      </c>
      <c r="B20" s="14" t="n">
        <v>2.88</v>
      </c>
      <c r="C20" s="14" t="n">
        <v>1150</v>
      </c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4" t="n">
        <v>2.88</v>
      </c>
      <c r="O20" s="14" t="n">
        <v>1150</v>
      </c>
      <c r="P20" s="14" t="n">
        <v>399</v>
      </c>
      <c r="Q20" s="15" t="n"/>
      <c r="R20" s="15" t="n"/>
      <c r="S20" s="15" t="n"/>
      <c r="T20" s="15" t="n"/>
      <c r="U20" s="15" t="n"/>
      <c r="V20" s="15" t="n"/>
      <c r="W20" s="15" t="n"/>
      <c r="X20" s="15" t="n"/>
      <c r="Y20" s="14" t="n">
        <v>2.88</v>
      </c>
      <c r="Z20" s="14" t="n">
        <v>1584</v>
      </c>
      <c r="AA20" s="14" t="n">
        <v>0</v>
      </c>
      <c r="AB20" s="14" t="n">
        <v>0</v>
      </c>
      <c r="AC20" s="14" t="n">
        <v>434</v>
      </c>
      <c r="AD20" s="16" t="n">
        <v>0.274</v>
      </c>
      <c r="AE20" s="15" t="n"/>
      <c r="AF20" s="15" t="n"/>
      <c r="AG20" s="15" t="n"/>
      <c r="AH20" s="15" t="n"/>
      <c r="AI20" s="15" t="n"/>
    </row>
    <row r="21">
      <c r="A21" s="13" t="inlineStr">
        <is>
          <t>Pearls JPS 600</t>
        </is>
      </c>
      <c r="B21" s="14" t="n">
        <v>0</v>
      </c>
      <c r="C21" s="15" t="n"/>
      <c r="D21" s="15" t="n"/>
      <c r="E21" s="15" t="n"/>
      <c r="F21" s="15" t="n"/>
      <c r="G21" s="15" t="n"/>
      <c r="H21" s="14" t="n">
        <v>27.672</v>
      </c>
      <c r="I21" s="14" t="n">
        <v>0</v>
      </c>
      <c r="J21" s="15" t="n"/>
      <c r="K21" s="15" t="n"/>
      <c r="L21" s="14" t="n">
        <v>27.672</v>
      </c>
      <c r="M21" s="14" t="n">
        <v>0</v>
      </c>
      <c r="N21" s="14" t="n">
        <v>27.672</v>
      </c>
      <c r="O21" s="14" t="n">
        <v>0</v>
      </c>
      <c r="P21" s="14" t="n">
        <v>0</v>
      </c>
      <c r="Q21" s="15" t="n"/>
      <c r="R21" s="15" t="n"/>
      <c r="S21" s="15" t="n"/>
      <c r="T21" s="15" t="n"/>
      <c r="U21" s="15" t="n"/>
      <c r="V21" s="15" t="n"/>
      <c r="W21" s="15" t="n"/>
      <c r="X21" s="15" t="n"/>
      <c r="Y21" s="14" t="n">
        <v>11.258</v>
      </c>
      <c r="Z21" s="14" t="n">
        <v>6755</v>
      </c>
      <c r="AA21" s="14" t="n">
        <v>16.414</v>
      </c>
      <c r="AB21" s="14" t="n">
        <v>0</v>
      </c>
      <c r="AC21" s="14" t="n">
        <v>6755</v>
      </c>
      <c r="AD21" s="16" t="n">
        <v>1</v>
      </c>
      <c r="AE21" s="15" t="n"/>
      <c r="AF21" s="15" t="n"/>
      <c r="AG21" s="15" t="n"/>
      <c r="AH21" s="15" t="n"/>
      <c r="AI21" s="15" t="n"/>
    </row>
    <row r="22">
      <c r="A22" s="13" t="inlineStr">
        <is>
          <t>Pearls JPS 700</t>
        </is>
      </c>
      <c r="B22" s="14" t="n">
        <v>35.096</v>
      </c>
      <c r="C22" s="14" t="n">
        <v>17524</v>
      </c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4" t="n">
        <v>35.096</v>
      </c>
      <c r="O22" s="14" t="n">
        <v>17524</v>
      </c>
      <c r="P22" s="14" t="n">
        <v>499</v>
      </c>
      <c r="Q22" s="15" t="n"/>
      <c r="R22" s="15" t="n"/>
      <c r="S22" s="15" t="n"/>
      <c r="T22" s="15" t="n"/>
      <c r="U22" s="15" t="n"/>
      <c r="V22" s="15" t="n"/>
      <c r="W22" s="15" t="n"/>
      <c r="X22" s="15" t="n"/>
      <c r="Y22" s="14" t="n">
        <v>17.418</v>
      </c>
      <c r="Z22" s="14" t="n">
        <v>12193</v>
      </c>
      <c r="AA22" s="14" t="n">
        <v>17.678</v>
      </c>
      <c r="AB22" s="14" t="n">
        <v>8827</v>
      </c>
      <c r="AC22" s="14" t="n">
        <v>3496</v>
      </c>
      <c r="AD22" s="16" t="n">
        <v>0.2867</v>
      </c>
      <c r="AE22" s="15" t="n"/>
      <c r="AF22" s="15" t="n"/>
      <c r="AG22" s="15" t="n"/>
      <c r="AH22" s="15" t="n"/>
      <c r="AI22" s="15" t="n"/>
    </row>
    <row r="23">
      <c r="A23" s="13" t="inlineStr">
        <is>
          <t>Pearls JPS 950</t>
        </is>
      </c>
      <c r="B23" s="14" t="n">
        <v>12.476</v>
      </c>
      <c r="C23" s="14" t="n">
        <v>11853</v>
      </c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4" t="n">
        <v>12.476</v>
      </c>
      <c r="O23" s="14" t="n">
        <v>11853</v>
      </c>
      <c r="P23" s="14" t="n">
        <v>950</v>
      </c>
      <c r="Q23" s="15" t="n"/>
      <c r="R23" s="15" t="n"/>
      <c r="S23" s="15" t="n"/>
      <c r="T23" s="15" t="n"/>
      <c r="U23" s="15" t="n"/>
      <c r="V23" s="15" t="n"/>
      <c r="W23" s="15" t="n"/>
      <c r="X23" s="15" t="n"/>
      <c r="Y23" s="14" t="n">
        <v>3</v>
      </c>
      <c r="Z23" s="14" t="n">
        <v>2850</v>
      </c>
      <c r="AA23" s="14" t="n">
        <v>9.476000000000001</v>
      </c>
      <c r="AB23" s="14" t="n">
        <v>9003</v>
      </c>
      <c r="AC23" s="14" t="n">
        <v>-0</v>
      </c>
      <c r="AD23" s="16" t="n">
        <v>0</v>
      </c>
      <c r="AE23" s="15" t="n"/>
      <c r="AF23" s="15" t="n"/>
      <c r="AG23" s="15" t="n"/>
      <c r="AH23" s="15" t="n"/>
      <c r="AI23" s="15" t="n"/>
    </row>
    <row r="24">
      <c r="A24" s="13" t="inlineStr">
        <is>
          <t>Pearls JPS 1000</t>
        </is>
      </c>
      <c r="B24" s="14" t="n">
        <v>979.549</v>
      </c>
      <c r="C24" s="14" t="n">
        <v>974434</v>
      </c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4" t="n">
        <v>979.549</v>
      </c>
      <c r="O24" s="14" t="n">
        <v>974434</v>
      </c>
      <c r="P24" s="14" t="n">
        <v>995</v>
      </c>
      <c r="Q24" s="15" t="n"/>
      <c r="R24" s="15" t="n"/>
      <c r="S24" s="14" t="n">
        <v>901.02</v>
      </c>
      <c r="T24" s="14" t="n">
        <v>896315</v>
      </c>
      <c r="U24" s="15" t="n"/>
      <c r="V24" s="15" t="n"/>
      <c r="W24" s="14" t="n">
        <v>901.02</v>
      </c>
      <c r="X24" s="14" t="n">
        <v>896315</v>
      </c>
      <c r="Y24" s="14" t="n">
        <v>51.584</v>
      </c>
      <c r="Z24" s="14" t="n">
        <v>51584</v>
      </c>
      <c r="AA24" s="14" t="n">
        <v>26.945</v>
      </c>
      <c r="AB24" s="14" t="n">
        <v>26804</v>
      </c>
      <c r="AC24" s="14" t="n">
        <v>269</v>
      </c>
      <c r="AD24" s="16" t="n">
        <v>0.0052</v>
      </c>
      <c r="AE24" s="15" t="n"/>
      <c r="AF24" s="15" t="n"/>
      <c r="AG24" s="15" t="n"/>
      <c r="AH24" s="15" t="n"/>
      <c r="AI24" s="15" t="n"/>
    </row>
    <row r="25">
      <c r="A25" s="13" t="inlineStr">
        <is>
          <t>Pearls JPS 1100</t>
        </is>
      </c>
      <c r="B25" s="14" t="n">
        <v>1175.234</v>
      </c>
      <c r="C25" s="14" t="n">
        <v>1233995</v>
      </c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4" t="n">
        <v>1175.234</v>
      </c>
      <c r="O25" s="14" t="n">
        <v>1233995</v>
      </c>
      <c r="P25" s="14" t="n">
        <v>1050</v>
      </c>
      <c r="Q25" s="15" t="n"/>
      <c r="R25" s="15" t="n"/>
      <c r="S25" s="14" t="n">
        <v>1102.09</v>
      </c>
      <c r="T25" s="14" t="n">
        <v>1157194</v>
      </c>
      <c r="U25" s="15" t="n"/>
      <c r="V25" s="15" t="n"/>
      <c r="W25" s="14" t="n">
        <v>1102.09</v>
      </c>
      <c r="X25" s="14" t="n">
        <v>1157194</v>
      </c>
      <c r="Y25" s="14" t="n">
        <v>24.7</v>
      </c>
      <c r="Z25" s="14" t="n">
        <v>27170</v>
      </c>
      <c r="AA25" s="14" t="n">
        <v>48.444</v>
      </c>
      <c r="AB25" s="14" t="n">
        <v>50866</v>
      </c>
      <c r="AC25" s="14" t="n">
        <v>1235</v>
      </c>
      <c r="AD25" s="16" t="n">
        <v>0.0455</v>
      </c>
      <c r="AE25" s="15" t="n"/>
      <c r="AF25" s="15" t="n"/>
      <c r="AG25" s="15" t="n"/>
      <c r="AH25" s="15" t="n"/>
      <c r="AI25" s="15" t="n"/>
    </row>
    <row r="26">
      <c r="A26" s="13" t="inlineStr">
        <is>
          <t>Pearls JPS 1200</t>
        </is>
      </c>
      <c r="B26" s="14" t="n">
        <v>4.155</v>
      </c>
      <c r="C26" s="14" t="n">
        <v>4986</v>
      </c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4" t="n">
        <v>4.155</v>
      </c>
      <c r="O26" s="14" t="n">
        <v>4986</v>
      </c>
      <c r="P26" s="14" t="n">
        <v>1200</v>
      </c>
      <c r="Q26" s="15" t="n"/>
      <c r="R26" s="15" t="n"/>
      <c r="S26" s="15" t="n"/>
      <c r="T26" s="15" t="n"/>
      <c r="U26" s="15" t="n"/>
      <c r="V26" s="15" t="n"/>
      <c r="W26" s="15" t="n"/>
      <c r="X26" s="15" t="n"/>
      <c r="Y26" s="14" t="n">
        <v>4.155</v>
      </c>
      <c r="Z26" s="14" t="n">
        <v>4986</v>
      </c>
      <c r="AA26" s="14" t="n">
        <v>0</v>
      </c>
      <c r="AB26" s="14" t="n">
        <v>0</v>
      </c>
      <c r="AC26" s="14" t="n">
        <v>0</v>
      </c>
      <c r="AD26" s="16" t="n">
        <v>0</v>
      </c>
      <c r="AE26" s="15" t="n"/>
      <c r="AF26" s="15" t="n"/>
      <c r="AG26" s="15" t="n"/>
      <c r="AH26" s="15" t="n"/>
      <c r="AI26" s="15" t="n"/>
    </row>
    <row r="27">
      <c r="A27" s="13" t="inlineStr">
        <is>
          <t>Pearls JPS 1300</t>
        </is>
      </c>
      <c r="B27" s="14" t="n">
        <v>25.136</v>
      </c>
      <c r="C27" s="14" t="n">
        <v>22555</v>
      </c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4" t="n">
        <v>25.136</v>
      </c>
      <c r="O27" s="14" t="n">
        <v>22555</v>
      </c>
      <c r="P27" s="14" t="n">
        <v>897</v>
      </c>
      <c r="Q27" s="15" t="n"/>
      <c r="R27" s="15" t="n"/>
      <c r="S27" s="15" t="n"/>
      <c r="T27" s="15" t="n"/>
      <c r="U27" s="15" t="n"/>
      <c r="V27" s="15" t="n"/>
      <c r="W27" s="15" t="n"/>
      <c r="X27" s="15" t="n"/>
      <c r="Y27" s="14" t="n">
        <v>6.46</v>
      </c>
      <c r="Z27" s="14" t="n">
        <v>8398</v>
      </c>
      <c r="AA27" s="14" t="n">
        <v>18.676</v>
      </c>
      <c r="AB27" s="14" t="n">
        <v>16758</v>
      </c>
      <c r="AC27" s="14" t="n">
        <v>2601</v>
      </c>
      <c r="AD27" s="16" t="n">
        <v>0.3098</v>
      </c>
      <c r="AE27" s="15" t="n"/>
      <c r="AF27" s="15" t="n"/>
      <c r="AG27" s="15" t="n"/>
      <c r="AH27" s="15" t="n"/>
      <c r="AI27" s="15" t="n"/>
    </row>
    <row r="28">
      <c r="A28" s="13" t="inlineStr">
        <is>
          <t>Pearls JPS 1400</t>
        </is>
      </c>
      <c r="B28" s="14" t="n">
        <v>8.567</v>
      </c>
      <c r="C28" s="14" t="n">
        <v>9141</v>
      </c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4" t="n">
        <v>8.567</v>
      </c>
      <c r="O28" s="14" t="n">
        <v>9141</v>
      </c>
      <c r="P28" s="14" t="n">
        <v>1067</v>
      </c>
      <c r="Q28" s="15" t="n"/>
      <c r="R28" s="15" t="n"/>
      <c r="S28" s="15" t="n"/>
      <c r="T28" s="15" t="n"/>
      <c r="U28" s="15" t="n"/>
      <c r="V28" s="15" t="n"/>
      <c r="W28" s="15" t="n"/>
      <c r="X28" s="15" t="n"/>
      <c r="Y28" s="14" t="n">
        <v>8.567</v>
      </c>
      <c r="Z28" s="14" t="n">
        <v>11994</v>
      </c>
      <c r="AA28" s="14" t="n">
        <v>0</v>
      </c>
      <c r="AB28" s="14" t="n">
        <v>0</v>
      </c>
      <c r="AC28" s="14" t="n">
        <v>2853</v>
      </c>
      <c r="AD28" s="16" t="n">
        <v>0.2379</v>
      </c>
      <c r="AE28" s="15" t="n"/>
      <c r="AF28" s="15" t="n"/>
      <c r="AG28" s="15" t="n"/>
      <c r="AH28" s="15" t="n"/>
      <c r="AI28" s="15" t="n"/>
    </row>
    <row r="29">
      <c r="A29" s="13" t="inlineStr">
        <is>
          <t>Pearls JPS 1500</t>
        </is>
      </c>
      <c r="B29" s="14" t="n">
        <v>13.03</v>
      </c>
      <c r="C29" s="14" t="n">
        <v>14240</v>
      </c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4" t="n">
        <v>13.03</v>
      </c>
      <c r="O29" s="14" t="n">
        <v>14240</v>
      </c>
      <c r="P29" s="14" t="n">
        <v>1093</v>
      </c>
      <c r="Q29" s="15" t="n"/>
      <c r="R29" s="15" t="n"/>
      <c r="S29" s="15" t="n"/>
      <c r="T29" s="15" t="n"/>
      <c r="U29" s="15" t="n"/>
      <c r="V29" s="15" t="n"/>
      <c r="W29" s="15" t="n"/>
      <c r="X29" s="15" t="n"/>
      <c r="Y29" s="14" t="n">
        <v>13.03</v>
      </c>
      <c r="Z29" s="14" t="n">
        <v>19545</v>
      </c>
      <c r="AA29" s="14" t="n">
        <v>0</v>
      </c>
      <c r="AB29" s="14" t="n">
        <v>0</v>
      </c>
      <c r="AC29" s="14" t="n">
        <v>5305</v>
      </c>
      <c r="AD29" s="16" t="n">
        <v>0.2714</v>
      </c>
      <c r="AE29" s="15" t="n"/>
      <c r="AF29" s="15" t="n"/>
      <c r="AG29" s="15" t="n"/>
      <c r="AH29" s="15" t="n"/>
      <c r="AI29" s="15" t="n"/>
    </row>
    <row r="30">
      <c r="A30" s="13" t="inlineStr">
        <is>
          <t>Pearls JPS 1800</t>
        </is>
      </c>
      <c r="B30" s="14" t="n">
        <v>24.3</v>
      </c>
      <c r="C30" s="14" t="n">
        <v>39062</v>
      </c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4" t="n">
        <v>24.3</v>
      </c>
      <c r="O30" s="14" t="n">
        <v>39062</v>
      </c>
      <c r="P30" s="14" t="n">
        <v>1607</v>
      </c>
      <c r="Q30" s="15" t="n"/>
      <c r="R30" s="15" t="n"/>
      <c r="S30" s="15" t="n"/>
      <c r="T30" s="15" t="n"/>
      <c r="U30" s="15" t="n"/>
      <c r="V30" s="15" t="n"/>
      <c r="W30" s="15" t="n"/>
      <c r="X30" s="15" t="n"/>
      <c r="Y30" s="14" t="n">
        <v>12.99</v>
      </c>
      <c r="Z30" s="14" t="n">
        <v>23382</v>
      </c>
      <c r="AA30" s="14" t="n">
        <v>11.31</v>
      </c>
      <c r="AB30" s="14" t="n">
        <v>18181</v>
      </c>
      <c r="AC30" s="14" t="n">
        <v>2501</v>
      </c>
      <c r="AD30" s="16" t="n">
        <v>0.107</v>
      </c>
      <c r="AE30" s="15" t="n"/>
      <c r="AF30" s="15" t="n"/>
      <c r="AG30" s="15" t="n"/>
      <c r="AH30" s="15" t="n"/>
      <c r="AI30" s="15" t="n"/>
    </row>
    <row r="31">
      <c r="A31" s="13" t="inlineStr">
        <is>
          <t>Pearls JPS 1900</t>
        </is>
      </c>
      <c r="B31" s="14" t="n">
        <v>2.218</v>
      </c>
      <c r="C31" s="14" t="n">
        <v>4214</v>
      </c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4" t="n">
        <v>2.218</v>
      </c>
      <c r="O31" s="14" t="n">
        <v>4214</v>
      </c>
      <c r="P31" s="14" t="n">
        <v>1900</v>
      </c>
      <c r="Q31" s="15" t="n"/>
      <c r="R31" s="15" t="n"/>
      <c r="S31" s="15" t="n"/>
      <c r="T31" s="15" t="n"/>
      <c r="U31" s="15" t="n"/>
      <c r="V31" s="15" t="n"/>
      <c r="W31" s="15" t="n"/>
      <c r="X31" s="15" t="n"/>
      <c r="Y31" s="14" t="n">
        <v>2.218</v>
      </c>
      <c r="Z31" s="14" t="n">
        <v>4214</v>
      </c>
      <c r="AA31" s="14" t="n">
        <v>0</v>
      </c>
      <c r="AB31" s="14" t="n">
        <v>0</v>
      </c>
      <c r="AC31" s="14" t="n">
        <v>0</v>
      </c>
      <c r="AD31" s="16" t="n">
        <v>0</v>
      </c>
      <c r="AE31" s="15" t="n"/>
      <c r="AF31" s="15" t="n"/>
      <c r="AG31" s="15" t="n"/>
      <c r="AH31" s="15" t="n"/>
      <c r="AI31" s="15" t="n"/>
    </row>
    <row r="32">
      <c r="A32" s="13" t="inlineStr">
        <is>
          <t>Pearls JPS 2000</t>
        </is>
      </c>
      <c r="B32" s="14" t="n">
        <v>172.674</v>
      </c>
      <c r="C32" s="14" t="n">
        <v>246753</v>
      </c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4" t="n">
        <v>172.674</v>
      </c>
      <c r="O32" s="14" t="n">
        <v>246753</v>
      </c>
      <c r="P32" s="14" t="n">
        <v>1429</v>
      </c>
      <c r="Q32" s="15" t="n"/>
      <c r="R32" s="15" t="n"/>
      <c r="S32" s="14" t="n">
        <v>43.17</v>
      </c>
      <c r="T32" s="14" t="n">
        <v>61690</v>
      </c>
      <c r="U32" s="15" t="n"/>
      <c r="V32" s="15" t="n"/>
      <c r="W32" s="14" t="n">
        <v>43.17</v>
      </c>
      <c r="X32" s="14" t="n">
        <v>61690</v>
      </c>
      <c r="Y32" s="14" t="n">
        <v>75.312</v>
      </c>
      <c r="Z32" s="14" t="n">
        <v>150624</v>
      </c>
      <c r="AA32" s="14" t="n">
        <v>54.192</v>
      </c>
      <c r="AB32" s="14" t="n">
        <v>77441</v>
      </c>
      <c r="AC32" s="14" t="n">
        <v>43002</v>
      </c>
      <c r="AD32" s="16" t="n">
        <v>0.2855</v>
      </c>
      <c r="AE32" s="15" t="n"/>
      <c r="AF32" s="15" t="n"/>
      <c r="AG32" s="15" t="n"/>
      <c r="AH32" s="15" t="n"/>
      <c r="AI32" s="15" t="n"/>
    </row>
    <row r="33">
      <c r="A33" s="13" t="inlineStr">
        <is>
          <t>Pearls JPS 2200</t>
        </is>
      </c>
      <c r="B33" s="14" t="n">
        <v>56.822</v>
      </c>
      <c r="C33" s="14" t="n">
        <v>90928</v>
      </c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4" t="n">
        <v>56.822</v>
      </c>
      <c r="O33" s="14" t="n">
        <v>90928</v>
      </c>
      <c r="P33" s="14" t="n">
        <v>1600</v>
      </c>
      <c r="Q33" s="15" t="n"/>
      <c r="R33" s="15" t="n"/>
      <c r="S33" s="14" t="n">
        <v>40.59</v>
      </c>
      <c r="T33" s="14" t="n">
        <v>64953</v>
      </c>
      <c r="U33" s="15" t="n"/>
      <c r="V33" s="15" t="n"/>
      <c r="W33" s="14" t="n">
        <v>40.59</v>
      </c>
      <c r="X33" s="14" t="n">
        <v>64953</v>
      </c>
      <c r="Y33" s="14" t="n">
        <v>1.66</v>
      </c>
      <c r="Z33" s="14" t="n">
        <v>3818</v>
      </c>
      <c r="AA33" s="14" t="n">
        <v>14.572</v>
      </c>
      <c r="AB33" s="14" t="n">
        <v>23318</v>
      </c>
      <c r="AC33" s="14" t="n">
        <v>1162</v>
      </c>
      <c r="AD33" s="16" t="n">
        <v>0.3043</v>
      </c>
      <c r="AE33" s="15" t="n"/>
      <c r="AF33" s="15" t="n"/>
      <c r="AG33" s="15" t="n"/>
      <c r="AH33" s="15" t="n"/>
      <c r="AI33" s="15" t="n"/>
    </row>
    <row r="34">
      <c r="A34" s="13" t="inlineStr">
        <is>
          <t>Pearls JPS 2500</t>
        </is>
      </c>
      <c r="B34" s="14" t="n">
        <v>83.598</v>
      </c>
      <c r="C34" s="14" t="n">
        <v>150490</v>
      </c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4" t="n">
        <v>83.598</v>
      </c>
      <c r="O34" s="14" t="n">
        <v>150490</v>
      </c>
      <c r="P34" s="14" t="n">
        <v>1800</v>
      </c>
      <c r="Q34" s="15" t="n"/>
      <c r="R34" s="15" t="n"/>
      <c r="S34" s="14" t="n">
        <v>75.63</v>
      </c>
      <c r="T34" s="14" t="n">
        <v>136146</v>
      </c>
      <c r="U34" s="15" t="n"/>
      <c r="V34" s="15" t="n"/>
      <c r="W34" s="14" t="n">
        <v>75.63</v>
      </c>
      <c r="X34" s="14" t="n">
        <v>136146</v>
      </c>
      <c r="Y34" s="14" t="n">
        <v>7.968</v>
      </c>
      <c r="Z34" s="14" t="n">
        <v>19920</v>
      </c>
      <c r="AA34" s="14" t="n">
        <v>0</v>
      </c>
      <c r="AB34" s="14" t="n">
        <v>0</v>
      </c>
      <c r="AC34" s="14" t="n">
        <v>5576</v>
      </c>
      <c r="AD34" s="16" t="n">
        <v>0.2799</v>
      </c>
      <c r="AE34" s="15" t="n"/>
      <c r="AF34" s="15" t="n"/>
      <c r="AG34" s="15" t="n"/>
      <c r="AH34" s="15" t="n"/>
      <c r="AI34" s="15" t="n"/>
    </row>
    <row r="35">
      <c r="A35" s="13" t="inlineStr">
        <is>
          <t>Pearls JPS 2800</t>
        </is>
      </c>
      <c r="B35" s="14" t="n">
        <v>0.88</v>
      </c>
      <c r="C35" s="14" t="n">
        <v>1689</v>
      </c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4" t="n">
        <v>0.88</v>
      </c>
      <c r="O35" s="14" t="n">
        <v>1689</v>
      </c>
      <c r="P35" s="14" t="n">
        <v>1919</v>
      </c>
      <c r="Q35" s="15" t="n"/>
      <c r="R35" s="15" t="n"/>
      <c r="S35" s="15" t="n"/>
      <c r="T35" s="15" t="n"/>
      <c r="U35" s="15" t="n"/>
      <c r="V35" s="15" t="n"/>
      <c r="W35" s="15" t="n"/>
      <c r="X35" s="15" t="n"/>
      <c r="Y35" s="14" t="n">
        <v>0.88</v>
      </c>
      <c r="Z35" s="14" t="n">
        <v>2464</v>
      </c>
      <c r="AA35" s="14" t="n">
        <v>0</v>
      </c>
      <c r="AB35" s="14" t="n">
        <v>0</v>
      </c>
      <c r="AC35" s="14" t="n">
        <v>775</v>
      </c>
      <c r="AD35" s="16" t="n">
        <v>0.3145</v>
      </c>
      <c r="AE35" s="15" t="n"/>
      <c r="AF35" s="15" t="n"/>
      <c r="AG35" s="15" t="n"/>
      <c r="AH35" s="15" t="n"/>
      <c r="AI35" s="15" t="n"/>
    </row>
    <row r="36">
      <c r="A36" s="13" t="inlineStr">
        <is>
          <t>Pearls JPS 3500</t>
        </is>
      </c>
      <c r="B36" s="14" t="n">
        <v>4.282</v>
      </c>
      <c r="C36" s="14" t="n">
        <v>10395</v>
      </c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4" t="n">
        <v>4.282</v>
      </c>
      <c r="O36" s="14" t="n">
        <v>10395</v>
      </c>
      <c r="P36" s="14" t="n">
        <v>2428</v>
      </c>
      <c r="Q36" s="15" t="n"/>
      <c r="R36" s="15" t="n"/>
      <c r="S36" s="15" t="n"/>
      <c r="T36" s="15" t="n"/>
      <c r="U36" s="15" t="n"/>
      <c r="V36" s="15" t="n"/>
      <c r="W36" s="15" t="n"/>
      <c r="X36" s="15" t="n"/>
      <c r="Y36" s="14" t="n">
        <v>4.282</v>
      </c>
      <c r="Z36" s="14" t="n">
        <v>14987</v>
      </c>
      <c r="AA36" s="14" t="n">
        <v>0</v>
      </c>
      <c r="AB36" s="14" t="n">
        <v>0</v>
      </c>
      <c r="AC36" s="14" t="n">
        <v>4592</v>
      </c>
      <c r="AD36" s="16" t="n">
        <v>0.3064</v>
      </c>
      <c r="AE36" s="15" t="n"/>
      <c r="AF36" s="15" t="n"/>
      <c r="AG36" s="15" t="n"/>
      <c r="AH36" s="15" t="n"/>
      <c r="AI36" s="15" t="n"/>
    </row>
    <row r="37">
      <c r="A37" s="21" t="inlineStr">
        <is>
          <t>GRAND TOTAL</t>
        </is>
      </c>
      <c r="B37" s="22" t="n">
        <v>6484.621000000001</v>
      </c>
      <c r="C37" s="22" t="n">
        <v>3573019</v>
      </c>
      <c r="D37" s="22">
        <f>SUM(D10:D36)</f>
        <v/>
      </c>
      <c r="E37" s="22">
        <f>SUM(E10:E36)</f>
        <v/>
      </c>
      <c r="F37" s="22">
        <f>SUM(F10:F36)</f>
        <v/>
      </c>
      <c r="G37" s="22">
        <f>SUM(G10:G36)</f>
        <v/>
      </c>
      <c r="H37" s="22" t="n">
        <v>2255.835</v>
      </c>
      <c r="I37" s="22" t="n">
        <v>339</v>
      </c>
      <c r="J37" s="22">
        <f>SUM(J10:J36)</f>
        <v/>
      </c>
      <c r="K37" s="22">
        <f>SUM(K10:K36)</f>
        <v/>
      </c>
      <c r="L37" s="22" t="n">
        <v>2255.835</v>
      </c>
      <c r="M37" s="22" t="n">
        <v>339</v>
      </c>
      <c r="N37" s="22" t="n">
        <v>8740.455999999998</v>
      </c>
      <c r="O37" s="22" t="n">
        <v>3573358</v>
      </c>
      <c r="P37" s="22" t="n">
        <v>409</v>
      </c>
      <c r="Q37" s="22">
        <f>SUM(Q10:Q36)</f>
        <v/>
      </c>
      <c r="R37" s="22">
        <f>SUM(R10:R36)</f>
        <v/>
      </c>
      <c r="S37" s="22" t="n">
        <v>3400.722000000001</v>
      </c>
      <c r="T37" s="22" t="n">
        <v>2634524</v>
      </c>
      <c r="U37" s="22">
        <f>SUM(U10:U36)</f>
        <v/>
      </c>
      <c r="V37" s="22">
        <f>SUM(V10:V36)</f>
        <v/>
      </c>
      <c r="W37" s="22" t="n">
        <v>3400.722000000001</v>
      </c>
      <c r="X37" s="22" t="n">
        <v>2634524</v>
      </c>
      <c r="Y37" s="22" t="n">
        <v>2821.755999999999</v>
      </c>
      <c r="Z37" s="22" t="n">
        <v>841363</v>
      </c>
      <c r="AA37" s="22" t="n">
        <v>2517.978</v>
      </c>
      <c r="AB37" s="22" t="n">
        <v>344838</v>
      </c>
      <c r="AC37" s="22" t="n">
        <v>247367</v>
      </c>
      <c r="AD37" s="23" t="n">
        <v>0.294</v>
      </c>
      <c r="AE37" s="22">
        <f>SUM(AE10:AE36)</f>
        <v/>
      </c>
      <c r="AF37" s="22">
        <f>SUM(AF10:AF36)</f>
        <v/>
      </c>
      <c r="AG37" s="22">
        <f>SUM(AG10:AG36)</f>
        <v/>
      </c>
      <c r="AH37" s="22">
        <f>SUM(AH10:AH36)</f>
        <v/>
      </c>
      <c r="AI37" s="24" t="n"/>
    </row>
  </sheetData>
  <mergeCells count="23">
    <mergeCell ref="Q7:R7"/>
    <mergeCell ref="L7:M7"/>
    <mergeCell ref="F6:M6"/>
    <mergeCell ref="F7:G7"/>
    <mergeCell ref="D6:E6"/>
    <mergeCell ref="AA6:AB6"/>
    <mergeCell ref="S7:T7"/>
    <mergeCell ref="A1:AI1"/>
    <mergeCell ref="A6:A9"/>
    <mergeCell ref="U7:V7"/>
    <mergeCell ref="W7:X7"/>
    <mergeCell ref="H7:I7"/>
    <mergeCell ref="Q6:X6"/>
    <mergeCell ref="J7:K7"/>
    <mergeCell ref="Y6:Z6"/>
    <mergeCell ref="A3:AI3"/>
    <mergeCell ref="A2:AI2"/>
    <mergeCell ref="B6:C6"/>
    <mergeCell ref="AC6:AD6"/>
    <mergeCell ref="N6:O6"/>
    <mergeCell ref="AE6:AF6"/>
    <mergeCell ref="A4:AI4"/>
    <mergeCell ref="AG6:AI6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39"/>
  <sheetViews>
    <sheetView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</cols>
  <sheetData>
    <row r="1" ht="22" customHeight="1">
      <c r="A1" s="1" t="inlineStr">
        <is>
          <t>Company Name</t>
        </is>
      </c>
    </row>
    <row r="2">
      <c r="A2" s="2" t="inlineStr">
        <is>
          <t>Address</t>
        </is>
      </c>
    </row>
    <row r="3">
      <c r="A3" s="2" t="inlineStr">
        <is>
          <t>Financial Year: AY 2025-26</t>
        </is>
      </c>
    </row>
    <row r="4" ht="20" customHeight="1">
      <c r="A4" s="3" t="inlineStr">
        <is>
          <t>DETAILS OF JEWELS CLOSING STOCK - RUBIE</t>
        </is>
      </c>
    </row>
    <row r="6" ht="28" customHeight="1">
      <c r="A6" s="4" t="inlineStr">
        <is>
          <t>Particulars / Product</t>
        </is>
      </c>
      <c r="B6" s="4" t="inlineStr">
        <is>
          <t>Opening Stock</t>
        </is>
      </c>
      <c r="C6" s="5" t="n"/>
      <c r="D6" s="4" t="inlineStr">
        <is>
          <t>Purchases</t>
        </is>
      </c>
      <c r="E6" s="5" t="n"/>
      <c r="F6" s="4" t="inlineStr">
        <is>
          <t>Receipts</t>
        </is>
      </c>
      <c r="G6" s="5" t="n"/>
      <c r="H6" s="5" t="n"/>
      <c r="I6" s="5" t="n"/>
      <c r="J6" s="5" t="n"/>
      <c r="K6" s="5" t="n"/>
      <c r="L6" s="5" t="n"/>
      <c r="M6" s="5" t="n"/>
      <c r="N6" s="4" t="inlineStr">
        <is>
          <t>Total</t>
        </is>
      </c>
      <c r="O6" s="5" t="n"/>
      <c r="P6" s="4" t="inlineStr">
        <is>
          <t>Average Rate</t>
        </is>
      </c>
      <c r="Q6" s="4" t="inlineStr">
        <is>
          <t>Issues</t>
        </is>
      </c>
      <c r="R6" s="5" t="n"/>
      <c r="S6" s="5" t="n"/>
      <c r="T6" s="5" t="n"/>
      <c r="U6" s="5" t="n"/>
      <c r="V6" s="5" t="n"/>
      <c r="W6" s="5" t="n"/>
      <c r="X6" s="5" t="n"/>
      <c r="Y6" s="4" t="inlineStr">
        <is>
          <t>Sales</t>
        </is>
      </c>
      <c r="Z6" s="5" t="n"/>
      <c r="AA6" s="4" t="inlineStr">
        <is>
          <t>Closing Stock</t>
        </is>
      </c>
      <c r="AB6" s="5" t="n"/>
      <c r="AC6" s="4" t="inlineStr">
        <is>
          <t>Gross Profit</t>
        </is>
      </c>
      <c r="AD6" s="5" t="n"/>
      <c r="AE6" s="4" t="inlineStr">
        <is>
          <t>GP AY 2025-26</t>
        </is>
      </c>
      <c r="AF6" s="5" t="n"/>
      <c r="AG6" s="4" t="inlineStr">
        <is>
          <t>Deviation</t>
        </is>
      </c>
      <c r="AH6" s="5" t="n"/>
      <c r="AI6" s="5" t="n"/>
    </row>
    <row r="7" ht="28" customHeight="1">
      <c r="A7" s="6" t="n"/>
      <c r="B7" s="7" t="inlineStr"/>
      <c r="C7" s="7" t="inlineStr"/>
      <c r="D7" s="7" t="inlineStr"/>
      <c r="E7" s="7" t="inlineStr"/>
      <c r="F7" s="8" t="inlineStr">
        <is>
          <t>Internal Stock Transfer</t>
        </is>
      </c>
      <c r="G7" s="7" t="n"/>
      <c r="H7" s="8" t="inlineStr">
        <is>
          <t>Jubilee Hills</t>
        </is>
      </c>
      <c r="I7" s="7" t="n"/>
      <c r="J7" s="8" t="inlineStr">
        <is>
          <t>Kokapet</t>
        </is>
      </c>
      <c r="K7" s="7" t="n"/>
      <c r="L7" s="8" t="inlineStr">
        <is>
          <t>Receipts</t>
        </is>
      </c>
      <c r="M7" s="7" t="n"/>
      <c r="N7" s="7" t="inlineStr"/>
      <c r="O7" s="7" t="inlineStr"/>
      <c r="P7" s="7" t="inlineStr"/>
      <c r="Q7" s="8" t="inlineStr">
        <is>
          <t>Internal Stock Transfer</t>
        </is>
      </c>
      <c r="R7" s="7" t="n"/>
      <c r="S7" s="8" t="inlineStr">
        <is>
          <t>Jubilee Hills</t>
        </is>
      </c>
      <c r="T7" s="7" t="n"/>
      <c r="U7" s="8" t="inlineStr">
        <is>
          <t>Kokapet</t>
        </is>
      </c>
      <c r="V7" s="7" t="n"/>
      <c r="W7" s="8" t="inlineStr">
        <is>
          <t>Total</t>
        </is>
      </c>
      <c r="X7" s="7" t="n"/>
      <c r="Y7" s="7" t="inlineStr"/>
      <c r="Z7" s="7" t="inlineStr"/>
      <c r="AA7" s="7" t="inlineStr"/>
      <c r="AB7" s="7" t="inlineStr"/>
      <c r="AC7" s="7" t="inlineStr"/>
      <c r="AD7" s="7" t="inlineStr"/>
      <c r="AE7" s="7" t="inlineStr"/>
      <c r="AF7" s="7" t="inlineStr"/>
      <c r="AG7" s="7" t="inlineStr"/>
      <c r="AH7" s="7" t="inlineStr"/>
      <c r="AI7" s="7" t="inlineStr"/>
    </row>
    <row r="8" ht="28" customHeight="1">
      <c r="A8" s="6" t="n"/>
      <c r="B8" s="9" t="inlineStr">
        <is>
          <t>Qty</t>
        </is>
      </c>
      <c r="C8" s="9" t="inlineStr">
        <is>
          <t>Amt.</t>
        </is>
      </c>
      <c r="D8" s="9" t="inlineStr">
        <is>
          <t>Qty</t>
        </is>
      </c>
      <c r="E8" s="9" t="inlineStr">
        <is>
          <t>Amt.</t>
        </is>
      </c>
      <c r="F8" s="9" t="inlineStr">
        <is>
          <t>Qty</t>
        </is>
      </c>
      <c r="G8" s="9" t="inlineStr">
        <is>
          <t>Amt.</t>
        </is>
      </c>
      <c r="H8" s="9" t="inlineStr">
        <is>
          <t>Qty</t>
        </is>
      </c>
      <c r="I8" s="9" t="inlineStr">
        <is>
          <t>Amt.</t>
        </is>
      </c>
      <c r="J8" s="9" t="inlineStr">
        <is>
          <t>Qty</t>
        </is>
      </c>
      <c r="K8" s="9" t="inlineStr">
        <is>
          <t>Amt.</t>
        </is>
      </c>
      <c r="L8" s="9" t="inlineStr">
        <is>
          <t>Qty</t>
        </is>
      </c>
      <c r="M8" s="9" t="inlineStr">
        <is>
          <t>Amt.</t>
        </is>
      </c>
      <c r="N8" s="9" t="inlineStr">
        <is>
          <t>Qty</t>
        </is>
      </c>
      <c r="O8" s="9" t="inlineStr">
        <is>
          <t>Amt.</t>
        </is>
      </c>
      <c r="P8" s="9" t="inlineStr">
        <is>
          <t>Amt.</t>
        </is>
      </c>
      <c r="Q8" s="9" t="inlineStr">
        <is>
          <t>Qty</t>
        </is>
      </c>
      <c r="R8" s="9" t="inlineStr">
        <is>
          <t>Amt.</t>
        </is>
      </c>
      <c r="S8" s="9" t="inlineStr">
        <is>
          <t>Qty</t>
        </is>
      </c>
      <c r="T8" s="9" t="inlineStr">
        <is>
          <t>Amt.</t>
        </is>
      </c>
      <c r="U8" s="9" t="inlineStr">
        <is>
          <t>Qty</t>
        </is>
      </c>
      <c r="V8" s="9" t="inlineStr">
        <is>
          <t>Amt.</t>
        </is>
      </c>
      <c r="W8" s="9" t="inlineStr">
        <is>
          <t>Qty</t>
        </is>
      </c>
      <c r="X8" s="9" t="inlineStr">
        <is>
          <t>Amt.</t>
        </is>
      </c>
      <c r="Y8" s="9" t="inlineStr">
        <is>
          <t>Qty</t>
        </is>
      </c>
      <c r="Z8" s="9" t="inlineStr">
        <is>
          <t>Amt.</t>
        </is>
      </c>
      <c r="AA8" s="9" t="inlineStr">
        <is>
          <t>Qty</t>
        </is>
      </c>
      <c r="AB8" s="9" t="inlineStr">
        <is>
          <t>Amt.</t>
        </is>
      </c>
      <c r="AC8" s="9" t="inlineStr">
        <is>
          <t>Amt.</t>
        </is>
      </c>
      <c r="AD8" s="9" t="inlineStr">
        <is>
          <t>%</t>
        </is>
      </c>
      <c r="AE8" s="9" t="inlineStr">
        <is>
          <t>Qty</t>
        </is>
      </c>
      <c r="AF8" s="9" t="inlineStr">
        <is>
          <t>Amt.</t>
        </is>
      </c>
      <c r="AG8" s="9" t="inlineStr">
        <is>
          <t>Qty</t>
        </is>
      </c>
      <c r="AH8" s="9" t="inlineStr">
        <is>
          <t>Amt.</t>
        </is>
      </c>
      <c r="AI8" s="9" t="inlineStr">
        <is>
          <t>%</t>
        </is>
      </c>
    </row>
    <row r="9" ht="28" customHeight="1">
      <c r="A9" s="6" t="n"/>
      <c r="B9" s="10" t="inlineStr">
        <is>
          <t>1</t>
        </is>
      </c>
      <c r="C9" s="10" t="inlineStr">
        <is>
          <t>2</t>
        </is>
      </c>
      <c r="D9" s="10" t="inlineStr">
        <is>
          <t>3</t>
        </is>
      </c>
      <c r="E9" s="10" t="inlineStr">
        <is>
          <t>4</t>
        </is>
      </c>
      <c r="F9" s="10" t="inlineStr">
        <is>
          <t>5</t>
        </is>
      </c>
      <c r="G9" s="10" t="inlineStr">
        <is>
          <t>6</t>
        </is>
      </c>
      <c r="H9" s="10" t="inlineStr">
        <is>
          <t>7</t>
        </is>
      </c>
      <c r="I9" s="10" t="inlineStr">
        <is>
          <t>8</t>
        </is>
      </c>
      <c r="J9" s="10" t="inlineStr">
        <is>
          <t>9</t>
        </is>
      </c>
      <c r="K9" s="10" t="inlineStr">
        <is>
          <t>10</t>
        </is>
      </c>
      <c r="L9" s="10" t="inlineStr">
        <is>
          <t>11</t>
        </is>
      </c>
      <c r="M9" s="10" t="inlineStr">
        <is>
          <t>12</t>
        </is>
      </c>
      <c r="N9" s="10" t="inlineStr">
        <is>
          <t>13</t>
        </is>
      </c>
      <c r="O9" s="10" t="inlineStr">
        <is>
          <t>14</t>
        </is>
      </c>
      <c r="P9" s="10" t="inlineStr">
        <is>
          <t>15</t>
        </is>
      </c>
      <c r="Q9" s="10" t="inlineStr">
        <is>
          <t>16</t>
        </is>
      </c>
      <c r="R9" s="10" t="inlineStr">
        <is>
          <t>17</t>
        </is>
      </c>
      <c r="S9" s="10" t="inlineStr">
        <is>
          <t>18</t>
        </is>
      </c>
      <c r="T9" s="10" t="inlineStr">
        <is>
          <t>19</t>
        </is>
      </c>
      <c r="U9" s="10" t="inlineStr">
        <is>
          <t>20</t>
        </is>
      </c>
      <c r="V9" s="10" t="inlineStr">
        <is>
          <t>21</t>
        </is>
      </c>
      <c r="W9" s="10" t="inlineStr">
        <is>
          <t>22</t>
        </is>
      </c>
      <c r="X9" s="10" t="inlineStr">
        <is>
          <t>23</t>
        </is>
      </c>
      <c r="Y9" s="10" t="inlineStr">
        <is>
          <t>24</t>
        </is>
      </c>
      <c r="Z9" s="10" t="inlineStr">
        <is>
          <t>25</t>
        </is>
      </c>
      <c r="AA9" s="10" t="inlineStr">
        <is>
          <t>26</t>
        </is>
      </c>
      <c r="AB9" s="10" t="inlineStr">
        <is>
          <t>27</t>
        </is>
      </c>
      <c r="AC9" s="10" t="inlineStr">
        <is>
          <t>28</t>
        </is>
      </c>
      <c r="AD9" s="10" t="inlineStr">
        <is>
          <t>29</t>
        </is>
      </c>
      <c r="AE9" s="10" t="inlineStr">
        <is>
          <t>30</t>
        </is>
      </c>
      <c r="AF9" s="10" t="inlineStr">
        <is>
          <t>31</t>
        </is>
      </c>
      <c r="AG9" s="10" t="inlineStr">
        <is>
          <t>32</t>
        </is>
      </c>
      <c r="AH9" s="10" t="inlineStr">
        <is>
          <t>33</t>
        </is>
      </c>
      <c r="AI9" s="10" t="inlineStr">
        <is>
          <t>34</t>
        </is>
      </c>
    </row>
    <row r="10">
      <c r="A10" s="13" t="inlineStr">
        <is>
          <t>Rubies JRU 50</t>
        </is>
      </c>
      <c r="B10" s="14" t="n">
        <v>0</v>
      </c>
      <c r="C10" s="15" t="n"/>
      <c r="D10" s="15" t="n"/>
      <c r="E10" s="15" t="n"/>
      <c r="F10" s="15" t="n"/>
      <c r="G10" s="15" t="n"/>
      <c r="H10" s="14" t="n">
        <v>2703.27</v>
      </c>
      <c r="I10" s="14" t="n">
        <v>0</v>
      </c>
      <c r="J10" s="15" t="n"/>
      <c r="K10" s="15" t="n"/>
      <c r="L10" s="14" t="n">
        <v>2703.27</v>
      </c>
      <c r="M10" s="14" t="n">
        <v>0</v>
      </c>
      <c r="N10" s="14" t="n">
        <v>2703.27</v>
      </c>
      <c r="O10" s="14" t="n">
        <v>0</v>
      </c>
      <c r="P10" s="14" t="n">
        <v>0</v>
      </c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4" t="n">
        <v>2703.27</v>
      </c>
      <c r="AB10" s="14" t="n">
        <v>0</v>
      </c>
      <c r="AC10" s="14" t="n">
        <v>0</v>
      </c>
      <c r="AD10" s="16" t="n">
        <v>0</v>
      </c>
      <c r="AE10" s="15" t="n"/>
      <c r="AF10" s="15" t="n"/>
      <c r="AG10" s="15" t="n"/>
      <c r="AH10" s="15" t="n"/>
      <c r="AI10" s="15" t="n"/>
    </row>
    <row r="11">
      <c r="A11" s="13" t="inlineStr">
        <is>
          <t>Rubies JRU 100</t>
        </is>
      </c>
      <c r="B11" s="14" t="n">
        <v>2818.52</v>
      </c>
      <c r="C11" s="14" t="n">
        <v>208394</v>
      </c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4" t="n">
        <v>2818.52</v>
      </c>
      <c r="O11" s="14" t="n">
        <v>208394</v>
      </c>
      <c r="P11" s="14" t="n">
        <v>74</v>
      </c>
      <c r="Q11" s="15" t="n"/>
      <c r="R11" s="15" t="n"/>
      <c r="S11" s="14" t="n">
        <v>962.12</v>
      </c>
      <c r="T11" s="14" t="n">
        <v>71137</v>
      </c>
      <c r="U11" s="15" t="n"/>
      <c r="V11" s="15" t="n"/>
      <c r="W11" s="14" t="n">
        <v>962.12</v>
      </c>
      <c r="X11" s="14" t="n">
        <v>71137</v>
      </c>
      <c r="Y11" s="14" t="n">
        <v>908.83</v>
      </c>
      <c r="Z11" s="14" t="n">
        <v>90858</v>
      </c>
      <c r="AA11" s="14" t="n">
        <v>947.5700000000001</v>
      </c>
      <c r="AB11" s="14" t="n">
        <v>70061</v>
      </c>
      <c r="AC11" s="14" t="n">
        <v>23662</v>
      </c>
      <c r="AD11" s="16" t="n">
        <v>0.2604</v>
      </c>
      <c r="AE11" s="15" t="n"/>
      <c r="AF11" s="15" t="n"/>
      <c r="AG11" s="15" t="n"/>
      <c r="AH11" s="15" t="n"/>
      <c r="AI11" s="15" t="n"/>
    </row>
    <row r="12">
      <c r="A12" s="13" t="inlineStr">
        <is>
          <t>Rubies JRU 150</t>
        </is>
      </c>
      <c r="B12" s="14" t="n">
        <v>256.59</v>
      </c>
      <c r="C12" s="14" t="n">
        <v>25457</v>
      </c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4" t="n">
        <v>256.59</v>
      </c>
      <c r="O12" s="14" t="n">
        <v>25457</v>
      </c>
      <c r="P12" s="14" t="n">
        <v>99</v>
      </c>
      <c r="Q12" s="15" t="n"/>
      <c r="R12" s="15" t="n"/>
      <c r="S12" s="14" t="n">
        <v>6.22</v>
      </c>
      <c r="T12" s="14" t="n">
        <v>617</v>
      </c>
      <c r="U12" s="15" t="n"/>
      <c r="V12" s="15" t="n"/>
      <c r="W12" s="14" t="n">
        <v>6.22</v>
      </c>
      <c r="X12" s="14" t="n">
        <v>617</v>
      </c>
      <c r="Y12" s="14" t="n">
        <v>21.09</v>
      </c>
      <c r="Z12" s="14" t="n">
        <v>2964</v>
      </c>
      <c r="AA12" s="14" t="n">
        <v>229.28</v>
      </c>
      <c r="AB12" s="14" t="n">
        <v>22748</v>
      </c>
      <c r="AC12" s="14" t="n">
        <v>872</v>
      </c>
      <c r="AD12" s="16" t="n">
        <v>0.2941</v>
      </c>
      <c r="AE12" s="15" t="n"/>
      <c r="AF12" s="15" t="n"/>
      <c r="AG12" s="15" t="n"/>
      <c r="AH12" s="15" t="n"/>
      <c r="AI12" s="15" t="n"/>
    </row>
    <row r="13">
      <c r="A13" s="13" t="inlineStr">
        <is>
          <t>Rubies JRU 350</t>
        </is>
      </c>
      <c r="B13" s="14" t="n">
        <v>202.89</v>
      </c>
      <c r="C13" s="14" t="n">
        <v>53495</v>
      </c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4" t="n">
        <v>202.89</v>
      </c>
      <c r="O13" s="14" t="n">
        <v>53495</v>
      </c>
      <c r="P13" s="14" t="n">
        <v>264</v>
      </c>
      <c r="Q13" s="15" t="n"/>
      <c r="R13" s="15" t="n"/>
      <c r="S13" s="14" t="n">
        <v>140</v>
      </c>
      <c r="T13" s="14" t="n">
        <v>36913</v>
      </c>
      <c r="U13" s="15" t="n"/>
      <c r="V13" s="15" t="n"/>
      <c r="W13" s="14" t="n">
        <v>140</v>
      </c>
      <c r="X13" s="14" t="n">
        <v>36913</v>
      </c>
      <c r="Y13" s="14" t="n">
        <v>19.73</v>
      </c>
      <c r="Z13" s="14" t="n">
        <v>7283</v>
      </c>
      <c r="AA13" s="14" t="n">
        <v>43.16</v>
      </c>
      <c r="AB13" s="14" t="n">
        <v>11380</v>
      </c>
      <c r="AC13" s="14" t="n">
        <v>2081</v>
      </c>
      <c r="AD13" s="16" t="n">
        <v>0.2857</v>
      </c>
      <c r="AE13" s="15" t="n"/>
      <c r="AF13" s="15" t="n"/>
      <c r="AG13" s="15" t="n"/>
      <c r="AH13" s="15" t="n"/>
      <c r="AI13" s="15" t="n"/>
    </row>
    <row r="14">
      <c r="A14" s="13" t="inlineStr">
        <is>
          <t>Rubies JRU 400</t>
        </is>
      </c>
      <c r="B14" s="14" t="n">
        <v>6.87</v>
      </c>
      <c r="C14" s="14" t="n">
        <v>1991</v>
      </c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4" t="n">
        <v>6.87</v>
      </c>
      <c r="O14" s="14" t="n">
        <v>1991</v>
      </c>
      <c r="P14" s="14" t="n">
        <v>290</v>
      </c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4" t="n">
        <v>6.87</v>
      </c>
      <c r="AB14" s="14" t="n">
        <v>1991</v>
      </c>
      <c r="AC14" s="14" t="n">
        <v>0</v>
      </c>
      <c r="AD14" s="16" t="n">
        <v>0</v>
      </c>
      <c r="AE14" s="15" t="n"/>
      <c r="AF14" s="15" t="n"/>
      <c r="AG14" s="15" t="n"/>
      <c r="AH14" s="15" t="n"/>
      <c r="AI14" s="15" t="n"/>
    </row>
    <row r="15">
      <c r="A15" s="13" t="inlineStr">
        <is>
          <t>Rubies JRU 450</t>
        </is>
      </c>
      <c r="B15" s="14" t="n">
        <v>1103.69</v>
      </c>
      <c r="C15" s="14" t="n">
        <v>361300</v>
      </c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4" t="n">
        <v>1103.69</v>
      </c>
      <c r="O15" s="14" t="n">
        <v>361300</v>
      </c>
      <c r="P15" s="14" t="n">
        <v>327</v>
      </c>
      <c r="Q15" s="15" t="n"/>
      <c r="R15" s="15" t="n"/>
      <c r="S15" s="14" t="n">
        <v>600.16</v>
      </c>
      <c r="T15" s="14" t="n">
        <v>196466</v>
      </c>
      <c r="U15" s="15" t="n"/>
      <c r="V15" s="15" t="n"/>
      <c r="W15" s="14" t="n">
        <v>600.16</v>
      </c>
      <c r="X15" s="14" t="n">
        <v>196466</v>
      </c>
      <c r="Y15" s="14" t="n">
        <v>398.61</v>
      </c>
      <c r="Z15" s="14" t="n">
        <v>247209</v>
      </c>
      <c r="AA15" s="14" t="n">
        <v>104.92</v>
      </c>
      <c r="AB15" s="14" t="n">
        <v>34346</v>
      </c>
      <c r="AC15" s="14" t="n">
        <v>116721</v>
      </c>
      <c r="AD15" s="16" t="n">
        <v>0.4722</v>
      </c>
      <c r="AE15" s="15" t="n"/>
      <c r="AF15" s="15" t="n"/>
      <c r="AG15" s="15" t="n"/>
      <c r="AH15" s="15" t="n"/>
      <c r="AI15" s="15" t="n"/>
    </row>
    <row r="16">
      <c r="A16" s="13" t="inlineStr">
        <is>
          <t>Rubies JRU 550</t>
        </is>
      </c>
      <c r="B16" s="14" t="n">
        <v>5.8</v>
      </c>
      <c r="C16" s="14" t="n">
        <v>2317</v>
      </c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4" t="n">
        <v>5.8</v>
      </c>
      <c r="O16" s="14" t="n">
        <v>2317</v>
      </c>
      <c r="P16" s="14" t="n">
        <v>399</v>
      </c>
      <c r="Q16" s="15" t="n"/>
      <c r="R16" s="15" t="n"/>
      <c r="S16" s="15" t="n"/>
      <c r="T16" s="15" t="n"/>
      <c r="U16" s="15" t="n"/>
      <c r="V16" s="15" t="n"/>
      <c r="W16" s="15" t="n"/>
      <c r="X16" s="15" t="n"/>
      <c r="Y16" s="14" t="n">
        <v>0.68</v>
      </c>
      <c r="Z16" s="14" t="n">
        <v>374</v>
      </c>
      <c r="AA16" s="14" t="n">
        <v>5.12</v>
      </c>
      <c r="AB16" s="14" t="n">
        <v>2045</v>
      </c>
      <c r="AC16" s="14" t="n">
        <v>102</v>
      </c>
      <c r="AD16" s="16" t="n">
        <v>0.2737</v>
      </c>
      <c r="AE16" s="15" t="n"/>
      <c r="AF16" s="15" t="n"/>
      <c r="AG16" s="15" t="n"/>
      <c r="AH16" s="15" t="n"/>
      <c r="AI16" s="15" t="n"/>
    </row>
    <row r="17">
      <c r="A17" s="13" t="inlineStr">
        <is>
          <t>Rubies JRU 700</t>
        </is>
      </c>
      <c r="B17" s="14" t="n">
        <v>64.95</v>
      </c>
      <c r="C17" s="14" t="n">
        <v>32475</v>
      </c>
      <c r="D17" s="15" t="n"/>
      <c r="E17" s="15" t="n"/>
      <c r="F17" s="15" t="n"/>
      <c r="G17" s="15" t="n"/>
      <c r="H17" s="14" t="n">
        <v>22.77</v>
      </c>
      <c r="I17" s="14" t="n">
        <v>1516</v>
      </c>
      <c r="J17" s="15" t="n"/>
      <c r="K17" s="15" t="n"/>
      <c r="L17" s="14" t="n">
        <v>22.77</v>
      </c>
      <c r="M17" s="14" t="n">
        <v>1516</v>
      </c>
      <c r="N17" s="14" t="n">
        <v>87.72</v>
      </c>
      <c r="O17" s="14" t="n">
        <v>33991</v>
      </c>
      <c r="P17" s="14" t="n">
        <v>387</v>
      </c>
      <c r="Q17" s="15" t="n"/>
      <c r="R17" s="15" t="n"/>
      <c r="S17" s="15" t="n"/>
      <c r="T17" s="15" t="n"/>
      <c r="U17" s="15" t="n"/>
      <c r="V17" s="15" t="n"/>
      <c r="W17" s="15" t="n"/>
      <c r="X17" s="15" t="n"/>
      <c r="Y17" s="14" t="n">
        <v>61.93</v>
      </c>
      <c r="Z17" s="14" t="n">
        <v>43351</v>
      </c>
      <c r="AA17" s="14" t="n">
        <v>25.79</v>
      </c>
      <c r="AB17" s="14" t="n">
        <v>9993</v>
      </c>
      <c r="AC17" s="14" t="n">
        <v>19354</v>
      </c>
      <c r="AD17" s="16" t="n">
        <v>0.4464</v>
      </c>
      <c r="AE17" s="15" t="n"/>
      <c r="AF17" s="15" t="n"/>
      <c r="AG17" s="15" t="n"/>
      <c r="AH17" s="15" t="n"/>
      <c r="AI17" s="15" t="n"/>
    </row>
    <row r="18">
      <c r="A18" s="13" t="inlineStr">
        <is>
          <t>Rubies JRU 800</t>
        </is>
      </c>
      <c r="B18" s="14" t="n">
        <v>20.37</v>
      </c>
      <c r="C18" s="14" t="n">
        <v>11645</v>
      </c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4" t="n">
        <v>20.37</v>
      </c>
      <c r="O18" s="14" t="n">
        <v>11645</v>
      </c>
      <c r="P18" s="14" t="n">
        <v>572</v>
      </c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4" t="n">
        <v>20.37</v>
      </c>
      <c r="AB18" s="14" t="n">
        <v>11645</v>
      </c>
      <c r="AC18" s="14" t="n">
        <v>-0</v>
      </c>
      <c r="AD18" s="16" t="n">
        <v>0</v>
      </c>
      <c r="AE18" s="15" t="n"/>
      <c r="AF18" s="15" t="n"/>
      <c r="AG18" s="15" t="n"/>
      <c r="AH18" s="15" t="n"/>
      <c r="AI18" s="15" t="n"/>
    </row>
    <row r="19">
      <c r="A19" s="13" t="inlineStr">
        <is>
          <t>Rubies JRU 900</t>
        </is>
      </c>
      <c r="B19" s="14" t="n">
        <v>206</v>
      </c>
      <c r="C19" s="14" t="n">
        <v>133060</v>
      </c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4" t="n">
        <v>206</v>
      </c>
      <c r="O19" s="14" t="n">
        <v>133060</v>
      </c>
      <c r="P19" s="14" t="n">
        <v>646</v>
      </c>
      <c r="Q19" s="15" t="n"/>
      <c r="R19" s="15" t="n"/>
      <c r="S19" s="14" t="n">
        <v>174.23</v>
      </c>
      <c r="T19" s="14" t="n">
        <v>112539</v>
      </c>
      <c r="U19" s="15" t="n"/>
      <c r="V19" s="15" t="n"/>
      <c r="W19" s="14" t="n">
        <v>174.23</v>
      </c>
      <c r="X19" s="14" t="n">
        <v>112539</v>
      </c>
      <c r="Y19" s="14" t="n">
        <v>10.33</v>
      </c>
      <c r="Z19" s="14" t="n">
        <v>9297</v>
      </c>
      <c r="AA19" s="14" t="n">
        <v>21.44</v>
      </c>
      <c r="AB19" s="14" t="n">
        <v>13849</v>
      </c>
      <c r="AC19" s="14" t="n">
        <v>2625</v>
      </c>
      <c r="AD19" s="16" t="n">
        <v>0.2823</v>
      </c>
      <c r="AE19" s="15" t="n"/>
      <c r="AF19" s="15" t="n"/>
      <c r="AG19" s="15" t="n"/>
      <c r="AH19" s="15" t="n"/>
      <c r="AI19" s="15" t="n"/>
    </row>
    <row r="20">
      <c r="A20" s="13" t="inlineStr">
        <is>
          <t>Rubies JRU 1000</t>
        </is>
      </c>
      <c r="B20" s="14" t="n">
        <v>248.56</v>
      </c>
      <c r="C20" s="14" t="n">
        <v>233350</v>
      </c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4" t="n">
        <v>248.56</v>
      </c>
      <c r="O20" s="14" t="n">
        <v>233350</v>
      </c>
      <c r="P20" s="14" t="n">
        <v>939</v>
      </c>
      <c r="Q20" s="15" t="n"/>
      <c r="R20" s="15" t="n"/>
      <c r="S20" s="14" t="n">
        <v>201.26</v>
      </c>
      <c r="T20" s="14" t="n">
        <v>188944</v>
      </c>
      <c r="U20" s="15" t="n"/>
      <c r="V20" s="15" t="n"/>
      <c r="W20" s="14" t="n">
        <v>201.26</v>
      </c>
      <c r="X20" s="14" t="n">
        <v>188944</v>
      </c>
      <c r="Y20" s="14" t="n">
        <v>42.93</v>
      </c>
      <c r="Z20" s="14" t="n">
        <v>42930</v>
      </c>
      <c r="AA20" s="14" t="n">
        <v>4.37</v>
      </c>
      <c r="AB20" s="14" t="n">
        <v>4103</v>
      </c>
      <c r="AC20" s="14" t="n">
        <v>2627</v>
      </c>
      <c r="AD20" s="16" t="n">
        <v>0.0612</v>
      </c>
      <c r="AE20" s="15" t="n"/>
      <c r="AF20" s="15" t="n"/>
      <c r="AG20" s="15" t="n"/>
      <c r="AH20" s="15" t="n"/>
      <c r="AI20" s="15" t="n"/>
    </row>
    <row r="21">
      <c r="A21" s="13" t="inlineStr">
        <is>
          <t>Rubies JRU 1100</t>
        </is>
      </c>
      <c r="B21" s="14" t="n">
        <v>482.8</v>
      </c>
      <c r="C21" s="14" t="n">
        <v>513627</v>
      </c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4" t="n">
        <v>482.8</v>
      </c>
      <c r="O21" s="14" t="n">
        <v>513627</v>
      </c>
      <c r="P21" s="14" t="n">
        <v>1064</v>
      </c>
      <c r="Q21" s="15" t="n"/>
      <c r="R21" s="15" t="n"/>
      <c r="S21" s="14" t="n">
        <v>413.89</v>
      </c>
      <c r="T21" s="14" t="n">
        <v>440317</v>
      </c>
      <c r="U21" s="15" t="n"/>
      <c r="V21" s="15" t="n"/>
      <c r="W21" s="14" t="n">
        <v>413.89</v>
      </c>
      <c r="X21" s="14" t="n">
        <v>440317</v>
      </c>
      <c r="Y21" s="15" t="n"/>
      <c r="Z21" s="15" t="n"/>
      <c r="AA21" s="14" t="n">
        <v>68.91</v>
      </c>
      <c r="AB21" s="14" t="n">
        <v>73310</v>
      </c>
      <c r="AC21" s="14" t="n">
        <v>0</v>
      </c>
      <c r="AD21" s="16" t="n">
        <v>0</v>
      </c>
      <c r="AE21" s="15" t="n"/>
      <c r="AF21" s="15" t="n"/>
      <c r="AG21" s="15" t="n"/>
      <c r="AH21" s="15" t="n"/>
      <c r="AI21" s="15" t="n"/>
    </row>
    <row r="22">
      <c r="A22" s="13" t="inlineStr">
        <is>
          <t>Rubies JRU 1200</t>
        </is>
      </c>
      <c r="B22" s="14" t="n">
        <v>37.24</v>
      </c>
      <c r="C22" s="14" t="n">
        <v>31819</v>
      </c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4" t="n">
        <v>37.24</v>
      </c>
      <c r="O22" s="14" t="n">
        <v>31819</v>
      </c>
      <c r="P22" s="14" t="n">
        <v>854</v>
      </c>
      <c r="Q22" s="15" t="n"/>
      <c r="R22" s="15" t="n"/>
      <c r="S22" s="14" t="n">
        <v>30.12</v>
      </c>
      <c r="T22" s="14" t="n">
        <v>25735</v>
      </c>
      <c r="U22" s="15" t="n"/>
      <c r="V22" s="15" t="n"/>
      <c r="W22" s="14" t="n">
        <v>30.12</v>
      </c>
      <c r="X22" s="14" t="n">
        <v>25735</v>
      </c>
      <c r="Y22" s="15" t="n"/>
      <c r="Z22" s="15" t="n"/>
      <c r="AA22" s="14" t="n">
        <v>7.12</v>
      </c>
      <c r="AB22" s="14" t="n">
        <v>6084</v>
      </c>
      <c r="AC22" s="14" t="n">
        <v>-0</v>
      </c>
      <c r="AD22" s="16" t="n">
        <v>0</v>
      </c>
      <c r="AE22" s="15" t="n"/>
      <c r="AF22" s="15" t="n"/>
      <c r="AG22" s="15" t="n"/>
      <c r="AH22" s="15" t="n"/>
      <c r="AI22" s="15" t="n"/>
    </row>
    <row r="23">
      <c r="A23" s="13" t="inlineStr">
        <is>
          <t>Rubies JRU 1300</t>
        </is>
      </c>
      <c r="B23" s="14" t="n">
        <v>70.345</v>
      </c>
      <c r="C23" s="14" t="n">
        <v>88635</v>
      </c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4" t="n">
        <v>70.345</v>
      </c>
      <c r="O23" s="14" t="n">
        <v>88635</v>
      </c>
      <c r="P23" s="14" t="n">
        <v>1260</v>
      </c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4" t="n">
        <v>70.345</v>
      </c>
      <c r="AB23" s="14" t="n">
        <v>88635</v>
      </c>
      <c r="AC23" s="14" t="n">
        <v>0</v>
      </c>
      <c r="AD23" s="16" t="n">
        <v>0</v>
      </c>
      <c r="AE23" s="15" t="n"/>
      <c r="AF23" s="15" t="n"/>
      <c r="AG23" s="15" t="n"/>
      <c r="AH23" s="15" t="n"/>
      <c r="AI23" s="15" t="n"/>
    </row>
    <row r="24">
      <c r="A24" s="13" t="inlineStr">
        <is>
          <t>Rubies JRU 1400</t>
        </is>
      </c>
      <c r="B24" s="14" t="n">
        <v>40.53</v>
      </c>
      <c r="C24" s="14" t="n">
        <v>47713</v>
      </c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4" t="n">
        <v>40.53</v>
      </c>
      <c r="O24" s="14" t="n">
        <v>47713</v>
      </c>
      <c r="P24" s="14" t="n">
        <v>1177</v>
      </c>
      <c r="Q24" s="15" t="n"/>
      <c r="R24" s="15" t="n"/>
      <c r="S24" s="15" t="n"/>
      <c r="T24" s="15" t="n"/>
      <c r="U24" s="15" t="n"/>
      <c r="V24" s="15" t="n"/>
      <c r="W24" s="15" t="n"/>
      <c r="X24" s="15" t="n"/>
      <c r="Y24" s="14" t="n">
        <v>34.53</v>
      </c>
      <c r="Z24" s="14" t="n">
        <v>48342</v>
      </c>
      <c r="AA24" s="14" t="n">
        <v>6</v>
      </c>
      <c r="AB24" s="14" t="n">
        <v>7063</v>
      </c>
      <c r="AC24" s="14" t="n">
        <v>7692</v>
      </c>
      <c r="AD24" s="16" t="n">
        <v>0.1591</v>
      </c>
      <c r="AE24" s="15" t="n"/>
      <c r="AF24" s="15" t="n"/>
      <c r="AG24" s="15" t="n"/>
      <c r="AH24" s="15" t="n"/>
      <c r="AI24" s="15" t="n"/>
    </row>
    <row r="25">
      <c r="A25" s="13" t="inlineStr">
        <is>
          <t>Rubies JRU 1500</t>
        </is>
      </c>
      <c r="B25" s="14" t="n">
        <v>164.555</v>
      </c>
      <c r="C25" s="14" t="n">
        <v>241896</v>
      </c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4" t="n">
        <v>164.555</v>
      </c>
      <c r="O25" s="14" t="n">
        <v>241896</v>
      </c>
      <c r="P25" s="14" t="n">
        <v>1470</v>
      </c>
      <c r="Q25" s="15" t="n"/>
      <c r="R25" s="15" t="n"/>
      <c r="S25" s="14" t="n">
        <v>75.02</v>
      </c>
      <c r="T25" s="14" t="n">
        <v>110279</v>
      </c>
      <c r="U25" s="15" t="n"/>
      <c r="V25" s="15" t="n"/>
      <c r="W25" s="14" t="n">
        <v>75.02</v>
      </c>
      <c r="X25" s="14" t="n">
        <v>110279</v>
      </c>
      <c r="Y25" s="14" t="n">
        <v>89.535</v>
      </c>
      <c r="Z25" s="14" t="n">
        <v>134418</v>
      </c>
      <c r="AA25" s="14" t="n">
        <v>0</v>
      </c>
      <c r="AB25" s="14" t="n">
        <v>0</v>
      </c>
      <c r="AC25" s="14" t="n">
        <v>2801</v>
      </c>
      <c r="AD25" s="16" t="n">
        <v>0.0208</v>
      </c>
      <c r="AE25" s="15" t="n"/>
      <c r="AF25" s="15" t="n"/>
      <c r="AG25" s="15" t="n"/>
      <c r="AH25" s="15" t="n"/>
      <c r="AI25" s="15" t="n"/>
    </row>
    <row r="26">
      <c r="A26" s="13" t="inlineStr">
        <is>
          <t>Rubies JRU 1800</t>
        </is>
      </c>
      <c r="B26" s="14" t="n">
        <v>23.8</v>
      </c>
      <c r="C26" s="14" t="n">
        <v>30796</v>
      </c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4" t="n">
        <v>23.8</v>
      </c>
      <c r="O26" s="14" t="n">
        <v>30796</v>
      </c>
      <c r="P26" s="14" t="n">
        <v>1294</v>
      </c>
      <c r="Q26" s="15" t="n"/>
      <c r="R26" s="15" t="n"/>
      <c r="S26" s="15" t="n"/>
      <c r="T26" s="15" t="n"/>
      <c r="U26" s="15" t="n"/>
      <c r="V26" s="15" t="n"/>
      <c r="W26" s="15" t="n"/>
      <c r="X26" s="15" t="n"/>
      <c r="Y26" s="14" t="n">
        <v>23.8</v>
      </c>
      <c r="Z26" s="14" t="n">
        <v>46378</v>
      </c>
      <c r="AA26" s="14" t="n">
        <v>0</v>
      </c>
      <c r="AB26" s="14" t="n">
        <v>0</v>
      </c>
      <c r="AC26" s="14" t="n">
        <v>15582</v>
      </c>
      <c r="AD26" s="16" t="n">
        <v>0.336</v>
      </c>
      <c r="AE26" s="15" t="n"/>
      <c r="AF26" s="15" t="n"/>
      <c r="AG26" s="15" t="n"/>
      <c r="AH26" s="15" t="n"/>
      <c r="AI26" s="15" t="n"/>
    </row>
    <row r="27">
      <c r="A27" s="13" t="inlineStr">
        <is>
          <t>Rubies JRU 2800</t>
        </is>
      </c>
      <c r="B27" s="14" t="n">
        <v>3.55</v>
      </c>
      <c r="C27" s="14" t="n">
        <v>7100</v>
      </c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4" t="n">
        <v>3.55</v>
      </c>
      <c r="O27" s="14" t="n">
        <v>7100</v>
      </c>
      <c r="P27" s="14" t="n">
        <v>2000</v>
      </c>
      <c r="Q27" s="15" t="n"/>
      <c r="R27" s="15" t="n"/>
      <c r="S27" s="15" t="n"/>
      <c r="T27" s="15" t="n"/>
      <c r="U27" s="15" t="n"/>
      <c r="V27" s="15" t="n"/>
      <c r="W27" s="15" t="n"/>
      <c r="X27" s="15" t="n"/>
      <c r="Y27" s="14" t="n">
        <v>3.55</v>
      </c>
      <c r="Z27" s="14" t="n">
        <v>9940</v>
      </c>
      <c r="AA27" s="14" t="n">
        <v>0</v>
      </c>
      <c r="AB27" s="14" t="n">
        <v>0</v>
      </c>
      <c r="AC27" s="14" t="n">
        <v>2840</v>
      </c>
      <c r="AD27" s="16" t="n">
        <v>0.2857</v>
      </c>
      <c r="AE27" s="15" t="n"/>
      <c r="AF27" s="15" t="n"/>
      <c r="AG27" s="15" t="n"/>
      <c r="AH27" s="15" t="n"/>
      <c r="AI27" s="15" t="n"/>
    </row>
    <row r="28">
      <c r="A28" s="13" t="inlineStr">
        <is>
          <t>Rubies JRU 3600</t>
        </is>
      </c>
      <c r="B28" s="14" t="n">
        <v>0.03</v>
      </c>
      <c r="C28" s="14" t="n">
        <v>78</v>
      </c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4" t="n">
        <v>0.03</v>
      </c>
      <c r="O28" s="14" t="n">
        <v>78</v>
      </c>
      <c r="P28" s="14" t="n">
        <v>2600</v>
      </c>
      <c r="Q28" s="15" t="n"/>
      <c r="R28" s="15" t="n"/>
      <c r="S28" s="15" t="n"/>
      <c r="T28" s="15" t="n"/>
      <c r="U28" s="15" t="n"/>
      <c r="V28" s="15" t="n"/>
      <c r="W28" s="15" t="n"/>
      <c r="X28" s="15" t="n"/>
      <c r="Y28" s="14" t="n">
        <v>0.03</v>
      </c>
      <c r="Z28" s="14" t="n">
        <v>108</v>
      </c>
      <c r="AA28" s="14" t="n">
        <v>0</v>
      </c>
      <c r="AB28" s="14" t="n">
        <v>0</v>
      </c>
      <c r="AC28" s="14" t="n">
        <v>30</v>
      </c>
      <c r="AD28" s="16" t="n">
        <v>0.2778</v>
      </c>
      <c r="AE28" s="15" t="n"/>
      <c r="AF28" s="15" t="n"/>
      <c r="AG28" s="15" t="n"/>
      <c r="AH28" s="15" t="n"/>
      <c r="AI28" s="15" t="n"/>
    </row>
    <row r="29">
      <c r="A29" s="13" t="inlineStr">
        <is>
          <t>Rubies JRU 3800</t>
        </is>
      </c>
      <c r="B29" s="14" t="n">
        <v>4.27</v>
      </c>
      <c r="C29" s="14" t="n">
        <v>11693</v>
      </c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4" t="n">
        <v>4.27</v>
      </c>
      <c r="O29" s="14" t="n">
        <v>11693</v>
      </c>
      <c r="P29" s="14" t="n">
        <v>2738</v>
      </c>
      <c r="Q29" s="15" t="n"/>
      <c r="R29" s="15" t="n"/>
      <c r="S29" s="15" t="n"/>
      <c r="T29" s="15" t="n"/>
      <c r="U29" s="15" t="n"/>
      <c r="V29" s="15" t="n"/>
      <c r="W29" s="15" t="n"/>
      <c r="X29" s="15" t="n"/>
      <c r="Y29" s="14" t="n">
        <v>4.27</v>
      </c>
      <c r="Z29" s="14" t="n">
        <v>16226</v>
      </c>
      <c r="AA29" s="14" t="n">
        <v>0</v>
      </c>
      <c r="AB29" s="14" t="n">
        <v>0</v>
      </c>
      <c r="AC29" s="14" t="n">
        <v>4533</v>
      </c>
      <c r="AD29" s="16" t="n">
        <v>0.2794</v>
      </c>
      <c r="AE29" s="15" t="n"/>
      <c r="AF29" s="15" t="n"/>
      <c r="AG29" s="15" t="n"/>
      <c r="AH29" s="15" t="n"/>
      <c r="AI29" s="15" t="n"/>
    </row>
    <row r="30">
      <c r="A30" s="13" t="inlineStr">
        <is>
          <t>Rubies JRU 3900</t>
        </is>
      </c>
      <c r="B30" s="14" t="n">
        <v>2.4</v>
      </c>
      <c r="C30" s="14" t="n">
        <v>6718</v>
      </c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4" t="n">
        <v>2.4</v>
      </c>
      <c r="O30" s="14" t="n">
        <v>6718</v>
      </c>
      <c r="P30" s="14" t="n">
        <v>2799</v>
      </c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4" t="n">
        <v>2.4</v>
      </c>
      <c r="AB30" s="14" t="n">
        <v>6718</v>
      </c>
      <c r="AC30" s="14" t="n">
        <v>0</v>
      </c>
      <c r="AD30" s="16" t="n">
        <v>0</v>
      </c>
      <c r="AE30" s="15" t="n"/>
      <c r="AF30" s="15" t="n"/>
      <c r="AG30" s="15" t="n"/>
      <c r="AH30" s="15" t="n"/>
      <c r="AI30" s="15" t="n"/>
    </row>
    <row r="31">
      <c r="A31" s="13" t="inlineStr">
        <is>
          <t>Rubies JRU 4000</t>
        </is>
      </c>
      <c r="B31" s="14" t="n">
        <v>3.9</v>
      </c>
      <c r="C31" s="14" t="n">
        <v>11306</v>
      </c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4" t="n">
        <v>3.9</v>
      </c>
      <c r="O31" s="14" t="n">
        <v>11306</v>
      </c>
      <c r="P31" s="14" t="n">
        <v>2899</v>
      </c>
      <c r="Q31" s="15" t="n"/>
      <c r="R31" s="15" t="n"/>
      <c r="S31" s="15" t="n"/>
      <c r="T31" s="15" t="n"/>
      <c r="U31" s="15" t="n"/>
      <c r="V31" s="15" t="n"/>
      <c r="W31" s="15" t="n"/>
      <c r="X31" s="15" t="n"/>
      <c r="Y31" s="14" t="n">
        <v>3.9</v>
      </c>
      <c r="Z31" s="14" t="n">
        <v>2100</v>
      </c>
      <c r="AA31" s="14" t="n">
        <v>0</v>
      </c>
      <c r="AB31" s="14" t="n">
        <v>0</v>
      </c>
      <c r="AC31" s="14" t="n">
        <v>-9206</v>
      </c>
      <c r="AD31" s="16" t="n">
        <v>0</v>
      </c>
      <c r="AE31" s="15" t="n"/>
      <c r="AF31" s="15" t="n"/>
      <c r="AG31" s="15" t="n"/>
      <c r="AH31" s="15" t="n"/>
      <c r="AI31" s="15" t="n"/>
    </row>
    <row r="32">
      <c r="A32" s="13" t="inlineStr">
        <is>
          <t>Rubies JRU 4500</t>
        </is>
      </c>
      <c r="B32" s="14" t="n">
        <v>0.86</v>
      </c>
      <c r="C32" s="14" t="n">
        <v>2796</v>
      </c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4" t="n">
        <v>0.86</v>
      </c>
      <c r="O32" s="14" t="n">
        <v>2796</v>
      </c>
      <c r="P32" s="14" t="n">
        <v>3251</v>
      </c>
      <c r="Q32" s="15" t="n"/>
      <c r="R32" s="15" t="n"/>
      <c r="S32" s="15" t="n"/>
      <c r="T32" s="15" t="n"/>
      <c r="U32" s="15" t="n"/>
      <c r="V32" s="15" t="n"/>
      <c r="W32" s="15" t="n"/>
      <c r="X32" s="15" t="n"/>
      <c r="Y32" s="14" t="n">
        <v>0.86</v>
      </c>
      <c r="Z32" s="14" t="n">
        <v>3870</v>
      </c>
      <c r="AA32" s="14" t="n">
        <v>0</v>
      </c>
      <c r="AB32" s="14" t="n">
        <v>0</v>
      </c>
      <c r="AC32" s="14" t="n">
        <v>1074</v>
      </c>
      <c r="AD32" s="16" t="n">
        <v>0.2775</v>
      </c>
      <c r="AE32" s="15" t="n"/>
      <c r="AF32" s="15" t="n"/>
      <c r="AG32" s="15" t="n"/>
      <c r="AH32" s="15" t="n"/>
      <c r="AI32" s="15" t="n"/>
    </row>
    <row r="33">
      <c r="A33" s="13" t="inlineStr">
        <is>
          <t>Rubies JRU 5000</t>
        </is>
      </c>
      <c r="B33" s="14" t="n">
        <v>0.5</v>
      </c>
      <c r="C33" s="14" t="n">
        <v>1786</v>
      </c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4" t="n">
        <v>0.5</v>
      </c>
      <c r="O33" s="14" t="n">
        <v>1786</v>
      </c>
      <c r="P33" s="14" t="n">
        <v>3572</v>
      </c>
      <c r="Q33" s="15" t="n"/>
      <c r="R33" s="15" t="n"/>
      <c r="S33" s="15" t="n"/>
      <c r="T33" s="15" t="n"/>
      <c r="U33" s="15" t="n"/>
      <c r="V33" s="15" t="n"/>
      <c r="W33" s="15" t="n"/>
      <c r="X33" s="15" t="n"/>
      <c r="Y33" s="14" t="n">
        <v>0.5</v>
      </c>
      <c r="Z33" s="14" t="n">
        <v>2500</v>
      </c>
      <c r="AA33" s="14" t="n">
        <v>0</v>
      </c>
      <c r="AB33" s="14" t="n">
        <v>0</v>
      </c>
      <c r="AC33" s="14" t="n">
        <v>714</v>
      </c>
      <c r="AD33" s="16" t="n">
        <v>0.2856</v>
      </c>
      <c r="AE33" s="15" t="n"/>
      <c r="AF33" s="15" t="n"/>
      <c r="AG33" s="15" t="n"/>
      <c r="AH33" s="15" t="n"/>
      <c r="AI33" s="15" t="n"/>
    </row>
    <row r="34">
      <c r="A34" s="13" t="inlineStr">
        <is>
          <t>Rubies JRU 5600</t>
        </is>
      </c>
      <c r="B34" s="14" t="n">
        <v>2.18</v>
      </c>
      <c r="C34" s="14" t="n">
        <v>8723</v>
      </c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4" t="n">
        <v>2.18</v>
      </c>
      <c r="O34" s="14" t="n">
        <v>8723</v>
      </c>
      <c r="P34" s="14" t="n">
        <v>4001</v>
      </c>
      <c r="Q34" s="15" t="n"/>
      <c r="R34" s="15" t="n"/>
      <c r="S34" s="15" t="n"/>
      <c r="T34" s="15" t="n"/>
      <c r="U34" s="15" t="n"/>
      <c r="V34" s="15" t="n"/>
      <c r="W34" s="15" t="n"/>
      <c r="X34" s="15" t="n"/>
      <c r="Y34" s="14" t="n">
        <v>2.18</v>
      </c>
      <c r="Z34" s="14" t="n">
        <v>12208</v>
      </c>
      <c r="AA34" s="14" t="n">
        <v>0</v>
      </c>
      <c r="AB34" s="14" t="n">
        <v>0</v>
      </c>
      <c r="AC34" s="14" t="n">
        <v>3485</v>
      </c>
      <c r="AD34" s="16" t="n">
        <v>0.2855</v>
      </c>
      <c r="AE34" s="15" t="n"/>
      <c r="AF34" s="15" t="n"/>
      <c r="AG34" s="15" t="n"/>
      <c r="AH34" s="15" t="n"/>
      <c r="AI34" s="15" t="n"/>
    </row>
    <row r="35">
      <c r="A35" s="13" t="inlineStr">
        <is>
          <t>Rubies JRU 6000</t>
        </is>
      </c>
      <c r="B35" s="14" t="n">
        <v>18.72</v>
      </c>
      <c r="C35" s="14" t="n">
        <v>81961</v>
      </c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4" t="n">
        <v>18.72</v>
      </c>
      <c r="O35" s="14" t="n">
        <v>81961</v>
      </c>
      <c r="P35" s="14" t="n">
        <v>4378</v>
      </c>
      <c r="Q35" s="15" t="n"/>
      <c r="R35" s="15" t="n"/>
      <c r="S35" s="14" t="n">
        <v>15.08</v>
      </c>
      <c r="T35" s="14" t="n">
        <v>66024</v>
      </c>
      <c r="U35" s="15" t="n"/>
      <c r="V35" s="15" t="n"/>
      <c r="W35" s="14" t="n">
        <v>15.08</v>
      </c>
      <c r="X35" s="14" t="n">
        <v>66024</v>
      </c>
      <c r="Y35" s="14" t="n">
        <v>0.12</v>
      </c>
      <c r="Z35" s="14" t="n">
        <v>720</v>
      </c>
      <c r="AA35" s="14" t="n">
        <v>3.52</v>
      </c>
      <c r="AB35" s="14" t="n">
        <v>15411</v>
      </c>
      <c r="AC35" s="14" t="n">
        <v>195</v>
      </c>
      <c r="AD35" s="16" t="n">
        <v>0.2703</v>
      </c>
      <c r="AE35" s="15" t="n"/>
      <c r="AF35" s="15" t="n"/>
      <c r="AG35" s="15" t="n"/>
      <c r="AH35" s="15" t="n"/>
      <c r="AI35" s="15" t="n"/>
    </row>
    <row r="36">
      <c r="A36" s="13" t="inlineStr">
        <is>
          <t>Rubies JRU 6600</t>
        </is>
      </c>
      <c r="B36" s="14" t="n">
        <v>6.49</v>
      </c>
      <c r="C36" s="14" t="n">
        <v>31349</v>
      </c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4" t="n">
        <v>6.49</v>
      </c>
      <c r="O36" s="14" t="n">
        <v>31349</v>
      </c>
      <c r="P36" s="14" t="n">
        <v>4830</v>
      </c>
      <c r="Q36" s="15" t="n"/>
      <c r="R36" s="15" t="n"/>
      <c r="S36" s="15" t="n"/>
      <c r="T36" s="15" t="n"/>
      <c r="U36" s="15" t="n"/>
      <c r="V36" s="15" t="n"/>
      <c r="W36" s="15" t="n"/>
      <c r="X36" s="15" t="n"/>
      <c r="Y36" s="14" t="n">
        <v>3.62</v>
      </c>
      <c r="Z36" s="14" t="n">
        <v>23892</v>
      </c>
      <c r="AA36" s="14" t="n">
        <v>2.87</v>
      </c>
      <c r="AB36" s="14" t="n">
        <v>13863</v>
      </c>
      <c r="AC36" s="14" t="n">
        <v>6406</v>
      </c>
      <c r="AD36" s="16" t="n">
        <v>0.2681</v>
      </c>
      <c r="AE36" s="15" t="n"/>
      <c r="AF36" s="15" t="n"/>
      <c r="AG36" s="15" t="n"/>
      <c r="AH36" s="15" t="n"/>
      <c r="AI36" s="15" t="n"/>
    </row>
    <row r="37">
      <c r="A37" s="13" t="inlineStr">
        <is>
          <t>Rubies JRU 7000</t>
        </is>
      </c>
      <c r="B37" s="14" t="n">
        <v>0.78</v>
      </c>
      <c r="C37" s="14" t="n">
        <v>3853</v>
      </c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4" t="n">
        <v>0.78</v>
      </c>
      <c r="O37" s="14" t="n">
        <v>3853</v>
      </c>
      <c r="P37" s="14" t="n">
        <v>4940</v>
      </c>
      <c r="Q37" s="15" t="n"/>
      <c r="R37" s="15" t="n"/>
      <c r="S37" s="15" t="n"/>
      <c r="T37" s="15" t="n"/>
      <c r="U37" s="15" t="n"/>
      <c r="V37" s="15" t="n"/>
      <c r="W37" s="15" t="n"/>
      <c r="X37" s="15" t="n"/>
      <c r="Y37" s="14" t="n">
        <v>0.78</v>
      </c>
      <c r="Z37" s="14" t="n">
        <v>5460</v>
      </c>
      <c r="AA37" s="14" t="n">
        <v>0</v>
      </c>
      <c r="AB37" s="14" t="n">
        <v>0</v>
      </c>
      <c r="AC37" s="14" t="n">
        <v>1607</v>
      </c>
      <c r="AD37" s="16" t="n">
        <v>0.2943</v>
      </c>
      <c r="AE37" s="15" t="n"/>
      <c r="AF37" s="15" t="n"/>
      <c r="AG37" s="15" t="n"/>
      <c r="AH37" s="15" t="n"/>
      <c r="AI37" s="15" t="n"/>
    </row>
    <row r="38">
      <c r="A38" s="13" t="inlineStr">
        <is>
          <t>Rubies JRU 12500</t>
        </is>
      </c>
      <c r="B38" s="14" t="n">
        <v>19.42</v>
      </c>
      <c r="C38" s="14" t="n">
        <v>240808</v>
      </c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4" t="n">
        <v>19.42</v>
      </c>
      <c r="O38" s="14" t="n">
        <v>240808</v>
      </c>
      <c r="P38" s="14" t="n">
        <v>12400</v>
      </c>
      <c r="Q38" s="15" t="n"/>
      <c r="R38" s="15" t="n"/>
      <c r="S38" s="14" t="n">
        <v>15.22</v>
      </c>
      <c r="T38" s="14" t="n">
        <v>188728</v>
      </c>
      <c r="U38" s="15" t="n"/>
      <c r="V38" s="15" t="n"/>
      <c r="W38" s="14" t="n">
        <v>15.22</v>
      </c>
      <c r="X38" s="14" t="n">
        <v>188728</v>
      </c>
      <c r="Y38" s="15" t="n"/>
      <c r="Z38" s="15" t="n"/>
      <c r="AA38" s="14" t="n">
        <v>4.2</v>
      </c>
      <c r="AB38" s="14" t="n">
        <v>52080</v>
      </c>
      <c r="AC38" s="14" t="n">
        <v>0</v>
      </c>
      <c r="AD38" s="16" t="n">
        <v>0</v>
      </c>
      <c r="AE38" s="15" t="n"/>
      <c r="AF38" s="15" t="n"/>
      <c r="AG38" s="15" t="n"/>
      <c r="AH38" s="15" t="n"/>
      <c r="AI38" s="15" t="n"/>
    </row>
    <row r="39">
      <c r="A39" s="21" t="inlineStr">
        <is>
          <t>GRAND TOTAL</t>
        </is>
      </c>
      <c r="B39" s="22" t="n">
        <v>5816.61</v>
      </c>
      <c r="C39" s="22" t="n">
        <v>2426141</v>
      </c>
      <c r="D39" s="22">
        <f>SUM(D10:D38)</f>
        <v/>
      </c>
      <c r="E39" s="22">
        <f>SUM(E10:E38)</f>
        <v/>
      </c>
      <c r="F39" s="22">
        <f>SUM(F10:F38)</f>
        <v/>
      </c>
      <c r="G39" s="22">
        <f>SUM(G10:G38)</f>
        <v/>
      </c>
      <c r="H39" s="22" t="n">
        <v>2726.04</v>
      </c>
      <c r="I39" s="22" t="n">
        <v>1516</v>
      </c>
      <c r="J39" s="22">
        <f>SUM(J10:J38)</f>
        <v/>
      </c>
      <c r="K39" s="22">
        <f>SUM(K10:K38)</f>
        <v/>
      </c>
      <c r="L39" s="22" t="n">
        <v>2726.04</v>
      </c>
      <c r="M39" s="22" t="n">
        <v>1516</v>
      </c>
      <c r="N39" s="22" t="n">
        <v>8542.650000000001</v>
      </c>
      <c r="O39" s="22" t="n">
        <v>2427657</v>
      </c>
      <c r="P39" s="22" t="n">
        <v>284</v>
      </c>
      <c r="Q39" s="22">
        <f>SUM(Q10:Q38)</f>
        <v/>
      </c>
      <c r="R39" s="22">
        <f>SUM(R10:R38)</f>
        <v/>
      </c>
      <c r="S39" s="22" t="n">
        <v>2633.319999999999</v>
      </c>
      <c r="T39" s="22" t="n">
        <v>1437701</v>
      </c>
      <c r="U39" s="22">
        <f>SUM(U10:U38)</f>
        <v/>
      </c>
      <c r="V39" s="22">
        <f>SUM(V10:V38)</f>
        <v/>
      </c>
      <c r="W39" s="22" t="n">
        <v>2633.319999999999</v>
      </c>
      <c r="X39" s="22" t="n">
        <v>1437701</v>
      </c>
      <c r="Y39" s="22" t="n">
        <v>1631.805</v>
      </c>
      <c r="Z39" s="22" t="n">
        <v>750428</v>
      </c>
      <c r="AA39" s="22" t="n">
        <v>4277.525</v>
      </c>
      <c r="AB39" s="22" t="n">
        <v>445325</v>
      </c>
      <c r="AC39" s="22" t="n">
        <v>205797</v>
      </c>
      <c r="AD39" s="23" t="n">
        <v>0.2742</v>
      </c>
      <c r="AE39" s="22">
        <f>SUM(AE10:AE38)</f>
        <v/>
      </c>
      <c r="AF39" s="22">
        <f>SUM(AF10:AF38)</f>
        <v/>
      </c>
      <c r="AG39" s="22">
        <f>SUM(AG10:AG38)</f>
        <v/>
      </c>
      <c r="AH39" s="22">
        <f>SUM(AH10:AH38)</f>
        <v/>
      </c>
      <c r="AI39" s="24" t="n"/>
    </row>
  </sheetData>
  <mergeCells count="23">
    <mergeCell ref="Q7:R7"/>
    <mergeCell ref="L7:M7"/>
    <mergeCell ref="F6:M6"/>
    <mergeCell ref="F7:G7"/>
    <mergeCell ref="D6:E6"/>
    <mergeCell ref="AA6:AB6"/>
    <mergeCell ref="S7:T7"/>
    <mergeCell ref="A1:AI1"/>
    <mergeCell ref="A6:A9"/>
    <mergeCell ref="U7:V7"/>
    <mergeCell ref="W7:X7"/>
    <mergeCell ref="H7:I7"/>
    <mergeCell ref="Q6:X6"/>
    <mergeCell ref="J7:K7"/>
    <mergeCell ref="Y6:Z6"/>
    <mergeCell ref="A3:AI3"/>
    <mergeCell ref="A2:AI2"/>
    <mergeCell ref="B6:C6"/>
    <mergeCell ref="AC6:AD6"/>
    <mergeCell ref="N6:O6"/>
    <mergeCell ref="AE6:AF6"/>
    <mergeCell ref="A4:AI4"/>
    <mergeCell ref="AG6:AI6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74"/>
  <sheetViews>
    <sheetView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</cols>
  <sheetData>
    <row r="1" ht="22" customHeight="1">
      <c r="A1" s="1" t="inlineStr">
        <is>
          <t>Company Name</t>
        </is>
      </c>
    </row>
    <row r="2">
      <c r="A2" s="2" t="inlineStr">
        <is>
          <t>Address</t>
        </is>
      </c>
    </row>
    <row r="3">
      <c r="A3" s="2" t="inlineStr">
        <is>
          <t>Financial Year: AY 2025-26</t>
        </is>
      </c>
    </row>
    <row r="4" ht="20" customHeight="1">
      <c r="A4" s="3" t="inlineStr">
        <is>
          <t>DETAILS OF JEWELS CLOSING STOCK - PRECIOUS AND SEMI PRECIOUS</t>
        </is>
      </c>
    </row>
    <row r="6" ht="28" customHeight="1">
      <c r="A6" s="4" t="inlineStr">
        <is>
          <t>Particulars / Product</t>
        </is>
      </c>
      <c r="B6" s="4" t="inlineStr">
        <is>
          <t>Opening Stock</t>
        </is>
      </c>
      <c r="C6" s="5" t="n"/>
      <c r="D6" s="4" t="inlineStr">
        <is>
          <t>Purchases</t>
        </is>
      </c>
      <c r="E6" s="5" t="n"/>
      <c r="F6" s="4" t="inlineStr">
        <is>
          <t>Receipts</t>
        </is>
      </c>
      <c r="G6" s="5" t="n"/>
      <c r="H6" s="5" t="n"/>
      <c r="I6" s="5" t="n"/>
      <c r="J6" s="5" t="n"/>
      <c r="K6" s="5" t="n"/>
      <c r="L6" s="5" t="n"/>
      <c r="M6" s="5" t="n"/>
      <c r="N6" s="4" t="inlineStr">
        <is>
          <t>Total</t>
        </is>
      </c>
      <c r="O6" s="5" t="n"/>
      <c r="P6" s="4" t="inlineStr">
        <is>
          <t>Average Rate</t>
        </is>
      </c>
      <c r="Q6" s="4" t="inlineStr">
        <is>
          <t>Issues</t>
        </is>
      </c>
      <c r="R6" s="5" t="n"/>
      <c r="S6" s="5" t="n"/>
      <c r="T6" s="5" t="n"/>
      <c r="U6" s="5" t="n"/>
      <c r="V6" s="5" t="n"/>
      <c r="W6" s="5" t="n"/>
      <c r="X6" s="5" t="n"/>
      <c r="Y6" s="4" t="inlineStr">
        <is>
          <t>Sales</t>
        </is>
      </c>
      <c r="Z6" s="5" t="n"/>
      <c r="AA6" s="4" t="inlineStr">
        <is>
          <t>Closing Stock</t>
        </is>
      </c>
      <c r="AB6" s="5" t="n"/>
      <c r="AC6" s="4" t="inlineStr">
        <is>
          <t>Gross Profit</t>
        </is>
      </c>
      <c r="AD6" s="5" t="n"/>
      <c r="AE6" s="4" t="inlineStr">
        <is>
          <t>GP AY 2025-26</t>
        </is>
      </c>
      <c r="AF6" s="5" t="n"/>
      <c r="AG6" s="4" t="inlineStr">
        <is>
          <t>Deviation</t>
        </is>
      </c>
      <c r="AH6" s="5" t="n"/>
      <c r="AI6" s="5" t="n"/>
    </row>
    <row r="7" ht="28" customHeight="1">
      <c r="A7" s="6" t="n"/>
      <c r="B7" s="7" t="inlineStr"/>
      <c r="C7" s="7" t="inlineStr"/>
      <c r="D7" s="7" t="inlineStr"/>
      <c r="E7" s="7" t="inlineStr"/>
      <c r="F7" s="8" t="inlineStr">
        <is>
          <t>Internal Stock Transfer</t>
        </is>
      </c>
      <c r="G7" s="7" t="n"/>
      <c r="H7" s="8" t="inlineStr">
        <is>
          <t>Jubilee Hills</t>
        </is>
      </c>
      <c r="I7" s="7" t="n"/>
      <c r="J7" s="8" t="inlineStr">
        <is>
          <t>Kokapet</t>
        </is>
      </c>
      <c r="K7" s="7" t="n"/>
      <c r="L7" s="8" t="inlineStr">
        <is>
          <t>Receipts</t>
        </is>
      </c>
      <c r="M7" s="7" t="n"/>
      <c r="N7" s="7" t="inlineStr"/>
      <c r="O7" s="7" t="inlineStr"/>
      <c r="P7" s="7" t="inlineStr"/>
      <c r="Q7" s="8" t="inlineStr">
        <is>
          <t>Internal Stock Transfer</t>
        </is>
      </c>
      <c r="R7" s="7" t="n"/>
      <c r="S7" s="8" t="inlineStr">
        <is>
          <t>Jubilee Hills</t>
        </is>
      </c>
      <c r="T7" s="7" t="n"/>
      <c r="U7" s="8" t="inlineStr">
        <is>
          <t>Kokapet</t>
        </is>
      </c>
      <c r="V7" s="7" t="n"/>
      <c r="W7" s="8" t="inlineStr">
        <is>
          <t>Total</t>
        </is>
      </c>
      <c r="X7" s="7" t="n"/>
      <c r="Y7" s="7" t="inlineStr"/>
      <c r="Z7" s="7" t="inlineStr"/>
      <c r="AA7" s="7" t="inlineStr"/>
      <c r="AB7" s="7" t="inlineStr"/>
      <c r="AC7" s="7" t="inlineStr"/>
      <c r="AD7" s="7" t="inlineStr"/>
      <c r="AE7" s="7" t="inlineStr"/>
      <c r="AF7" s="7" t="inlineStr"/>
      <c r="AG7" s="7" t="inlineStr"/>
      <c r="AH7" s="7" t="inlineStr"/>
      <c r="AI7" s="7" t="inlineStr"/>
    </row>
    <row r="8" ht="28" customHeight="1">
      <c r="A8" s="6" t="n"/>
      <c r="B8" s="9" t="inlineStr">
        <is>
          <t>Qty</t>
        </is>
      </c>
      <c r="C8" s="9" t="inlineStr">
        <is>
          <t>Amt.</t>
        </is>
      </c>
      <c r="D8" s="9" t="inlineStr">
        <is>
          <t>Qty</t>
        </is>
      </c>
      <c r="E8" s="9" t="inlineStr">
        <is>
          <t>Amt.</t>
        </is>
      </c>
      <c r="F8" s="9" t="inlineStr">
        <is>
          <t>Qty</t>
        </is>
      </c>
      <c r="G8" s="9" t="inlineStr">
        <is>
          <t>Amt.</t>
        </is>
      </c>
      <c r="H8" s="9" t="inlineStr">
        <is>
          <t>Qty</t>
        </is>
      </c>
      <c r="I8" s="9" t="inlineStr">
        <is>
          <t>Amt.</t>
        </is>
      </c>
      <c r="J8" s="9" t="inlineStr">
        <is>
          <t>Qty</t>
        </is>
      </c>
      <c r="K8" s="9" t="inlineStr">
        <is>
          <t>Amt.</t>
        </is>
      </c>
      <c r="L8" s="9" t="inlineStr">
        <is>
          <t>Qty</t>
        </is>
      </c>
      <c r="M8" s="9" t="inlineStr">
        <is>
          <t>Amt.</t>
        </is>
      </c>
      <c r="N8" s="9" t="inlineStr">
        <is>
          <t>Qty</t>
        </is>
      </c>
      <c r="O8" s="9" t="inlineStr">
        <is>
          <t>Amt.</t>
        </is>
      </c>
      <c r="P8" s="9" t="inlineStr">
        <is>
          <t>Amt.</t>
        </is>
      </c>
      <c r="Q8" s="9" t="inlineStr">
        <is>
          <t>Qty</t>
        </is>
      </c>
      <c r="R8" s="9" t="inlineStr">
        <is>
          <t>Amt.</t>
        </is>
      </c>
      <c r="S8" s="9" t="inlineStr">
        <is>
          <t>Qty</t>
        </is>
      </c>
      <c r="T8" s="9" t="inlineStr">
        <is>
          <t>Amt.</t>
        </is>
      </c>
      <c r="U8" s="9" t="inlineStr">
        <is>
          <t>Qty</t>
        </is>
      </c>
      <c r="V8" s="9" t="inlineStr">
        <is>
          <t>Amt.</t>
        </is>
      </c>
      <c r="W8" s="9" t="inlineStr">
        <is>
          <t>Qty</t>
        </is>
      </c>
      <c r="X8" s="9" t="inlineStr">
        <is>
          <t>Amt.</t>
        </is>
      </c>
      <c r="Y8" s="9" t="inlineStr">
        <is>
          <t>Qty</t>
        </is>
      </c>
      <c r="Z8" s="9" t="inlineStr">
        <is>
          <t>Amt.</t>
        </is>
      </c>
      <c r="AA8" s="9" t="inlineStr">
        <is>
          <t>Qty</t>
        </is>
      </c>
      <c r="AB8" s="9" t="inlineStr">
        <is>
          <t>Amt.</t>
        </is>
      </c>
      <c r="AC8" s="9" t="inlineStr">
        <is>
          <t>Amt.</t>
        </is>
      </c>
      <c r="AD8" s="9" t="inlineStr">
        <is>
          <t>%</t>
        </is>
      </c>
      <c r="AE8" s="9" t="inlineStr">
        <is>
          <t>Qty</t>
        </is>
      </c>
      <c r="AF8" s="9" t="inlineStr">
        <is>
          <t>Amt.</t>
        </is>
      </c>
      <c r="AG8" s="9" t="inlineStr">
        <is>
          <t>Qty</t>
        </is>
      </c>
      <c r="AH8" s="9" t="inlineStr">
        <is>
          <t>Amt.</t>
        </is>
      </c>
      <c r="AI8" s="9" t="inlineStr">
        <is>
          <t>%</t>
        </is>
      </c>
    </row>
    <row r="9" ht="28" customHeight="1">
      <c r="A9" s="6" t="n"/>
      <c r="B9" s="10" t="inlineStr">
        <is>
          <t>1</t>
        </is>
      </c>
      <c r="C9" s="10" t="inlineStr">
        <is>
          <t>2</t>
        </is>
      </c>
      <c r="D9" s="10" t="inlineStr">
        <is>
          <t>3</t>
        </is>
      </c>
      <c r="E9" s="10" t="inlineStr">
        <is>
          <t>4</t>
        </is>
      </c>
      <c r="F9" s="10" t="inlineStr">
        <is>
          <t>5</t>
        </is>
      </c>
      <c r="G9" s="10" t="inlineStr">
        <is>
          <t>6</t>
        </is>
      </c>
      <c r="H9" s="10" t="inlineStr">
        <is>
          <t>7</t>
        </is>
      </c>
      <c r="I9" s="10" t="inlineStr">
        <is>
          <t>8</t>
        </is>
      </c>
      <c r="J9" s="10" t="inlineStr">
        <is>
          <t>9</t>
        </is>
      </c>
      <c r="K9" s="10" t="inlineStr">
        <is>
          <t>10</t>
        </is>
      </c>
      <c r="L9" s="10" t="inlineStr">
        <is>
          <t>11</t>
        </is>
      </c>
      <c r="M9" s="10" t="inlineStr">
        <is>
          <t>12</t>
        </is>
      </c>
      <c r="N9" s="10" t="inlineStr">
        <is>
          <t>13</t>
        </is>
      </c>
      <c r="O9" s="10" t="inlineStr">
        <is>
          <t>14</t>
        </is>
      </c>
      <c r="P9" s="10" t="inlineStr">
        <is>
          <t>15</t>
        </is>
      </c>
      <c r="Q9" s="10" t="inlineStr">
        <is>
          <t>16</t>
        </is>
      </c>
      <c r="R9" s="10" t="inlineStr">
        <is>
          <t>17</t>
        </is>
      </c>
      <c r="S9" s="10" t="inlineStr">
        <is>
          <t>18</t>
        </is>
      </c>
      <c r="T9" s="10" t="inlineStr">
        <is>
          <t>19</t>
        </is>
      </c>
      <c r="U9" s="10" t="inlineStr">
        <is>
          <t>20</t>
        </is>
      </c>
      <c r="V9" s="10" t="inlineStr">
        <is>
          <t>21</t>
        </is>
      </c>
      <c r="W9" s="10" t="inlineStr">
        <is>
          <t>22</t>
        </is>
      </c>
      <c r="X9" s="10" t="inlineStr">
        <is>
          <t>23</t>
        </is>
      </c>
      <c r="Y9" s="10" t="inlineStr">
        <is>
          <t>24</t>
        </is>
      </c>
      <c r="Z9" s="10" t="inlineStr">
        <is>
          <t>25</t>
        </is>
      </c>
      <c r="AA9" s="10" t="inlineStr">
        <is>
          <t>26</t>
        </is>
      </c>
      <c r="AB9" s="10" t="inlineStr">
        <is>
          <t>27</t>
        </is>
      </c>
      <c r="AC9" s="10" t="inlineStr">
        <is>
          <t>28</t>
        </is>
      </c>
      <c r="AD9" s="10" t="inlineStr">
        <is>
          <t>29</t>
        </is>
      </c>
      <c r="AE9" s="10" t="inlineStr">
        <is>
          <t>30</t>
        </is>
      </c>
      <c r="AF9" s="10" t="inlineStr">
        <is>
          <t>31</t>
        </is>
      </c>
      <c r="AG9" s="10" t="inlineStr">
        <is>
          <t>32</t>
        </is>
      </c>
      <c r="AH9" s="10" t="inlineStr">
        <is>
          <t>33</t>
        </is>
      </c>
      <c r="AI9" s="10" t="inlineStr">
        <is>
          <t>34</t>
        </is>
      </c>
    </row>
    <row r="10">
      <c r="A10" s="11" t="inlineStr">
        <is>
          <t>Precious Stones</t>
        </is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  <c r="AI10" s="12" t="n"/>
    </row>
    <row r="11">
      <c r="A11" s="13" t="inlineStr">
        <is>
          <t>Precious stones JOS 50</t>
        </is>
      </c>
      <c r="B11" s="14" t="n">
        <v>1789.455</v>
      </c>
      <c r="C11" s="14" t="n">
        <v>91347</v>
      </c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4" t="n">
        <v>1789.455</v>
      </c>
      <c r="O11" s="14" t="n">
        <v>91347</v>
      </c>
      <c r="P11" s="14" t="n">
        <v>51</v>
      </c>
      <c r="Q11" s="15" t="n"/>
      <c r="R11" s="15" t="n"/>
      <c r="S11" s="14" t="n">
        <v>119.1</v>
      </c>
      <c r="T11" s="14" t="n">
        <v>6080</v>
      </c>
      <c r="U11" s="15" t="n"/>
      <c r="V11" s="15" t="n"/>
      <c r="W11" s="14" t="n">
        <v>119.1</v>
      </c>
      <c r="X11" s="14" t="n">
        <v>6080</v>
      </c>
      <c r="Y11" s="14" t="n">
        <v>279.63</v>
      </c>
      <c r="Z11" s="14" t="n">
        <v>13982</v>
      </c>
      <c r="AA11" s="14" t="n">
        <v>1390.725</v>
      </c>
      <c r="AB11" s="14" t="n">
        <v>70993</v>
      </c>
      <c r="AC11" s="14" t="n">
        <v>-292</v>
      </c>
      <c r="AD11" s="16" t="n">
        <v>0</v>
      </c>
      <c r="AE11" s="15" t="n"/>
      <c r="AF11" s="15" t="n"/>
      <c r="AG11" s="15" t="n"/>
      <c r="AH11" s="15" t="n"/>
      <c r="AI11" s="15" t="n"/>
    </row>
    <row r="12">
      <c r="A12" s="13" t="inlineStr">
        <is>
          <t>Precious stones JOS 100</t>
        </is>
      </c>
      <c r="B12" s="14" t="n">
        <v>14247.22</v>
      </c>
      <c r="C12" s="14" t="n">
        <v>967760</v>
      </c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4" t="n">
        <v>14247.22</v>
      </c>
      <c r="O12" s="14" t="n">
        <v>967760</v>
      </c>
      <c r="P12" s="14" t="n">
        <v>68</v>
      </c>
      <c r="Q12" s="15" t="n"/>
      <c r="R12" s="15" t="n"/>
      <c r="S12" s="14" t="n">
        <v>1385.504</v>
      </c>
      <c r="T12" s="14" t="n">
        <v>94112</v>
      </c>
      <c r="U12" s="15" t="n"/>
      <c r="V12" s="15" t="n"/>
      <c r="W12" s="14" t="n">
        <v>1385.504</v>
      </c>
      <c r="X12" s="14" t="n">
        <v>94112</v>
      </c>
      <c r="Y12" s="14" t="n">
        <v>12426.16</v>
      </c>
      <c r="Z12" s="14" t="n">
        <v>1247566</v>
      </c>
      <c r="AA12" s="14" t="n">
        <v>435.556</v>
      </c>
      <c r="AB12" s="14" t="n">
        <v>29586</v>
      </c>
      <c r="AC12" s="14" t="n">
        <v>403504</v>
      </c>
      <c r="AD12" s="16" t="n">
        <v>0.3234</v>
      </c>
      <c r="AE12" s="15" t="n"/>
      <c r="AF12" s="15" t="n"/>
      <c r="AG12" s="15" t="n"/>
      <c r="AH12" s="15" t="n"/>
      <c r="AI12" s="15" t="n"/>
    </row>
    <row r="13">
      <c r="A13" s="13" t="inlineStr">
        <is>
          <t>Precious stones JOS 150</t>
        </is>
      </c>
      <c r="B13" s="14" t="n">
        <v>2134.17</v>
      </c>
      <c r="C13" s="14" t="n">
        <v>289429</v>
      </c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4" t="n">
        <v>2134.17</v>
      </c>
      <c r="O13" s="14" t="n">
        <v>289429</v>
      </c>
      <c r="P13" s="14" t="n">
        <v>136</v>
      </c>
      <c r="Q13" s="15" t="n"/>
      <c r="R13" s="15" t="n"/>
      <c r="S13" s="14" t="n">
        <v>459.32</v>
      </c>
      <c r="T13" s="14" t="n">
        <v>62291</v>
      </c>
      <c r="U13" s="15" t="n"/>
      <c r="V13" s="15" t="n"/>
      <c r="W13" s="14" t="n">
        <v>459.32</v>
      </c>
      <c r="X13" s="14" t="n">
        <v>62291</v>
      </c>
      <c r="Y13" s="14" t="n">
        <v>1480.13</v>
      </c>
      <c r="Z13" s="14" t="n">
        <v>218893</v>
      </c>
      <c r="AA13" s="14" t="n">
        <v>194.72</v>
      </c>
      <c r="AB13" s="14" t="n">
        <v>26407</v>
      </c>
      <c r="AC13" s="14" t="n">
        <v>18163</v>
      </c>
      <c r="AD13" s="16" t="n">
        <v>0.083</v>
      </c>
      <c r="AE13" s="15" t="n"/>
      <c r="AF13" s="15" t="n"/>
      <c r="AG13" s="15" t="n"/>
      <c r="AH13" s="15" t="n"/>
      <c r="AI13" s="15" t="n"/>
    </row>
    <row r="14">
      <c r="A14" s="13" t="inlineStr">
        <is>
          <t>Precious stones JOS 200</t>
        </is>
      </c>
      <c r="B14" s="14" t="n">
        <v>1412.795</v>
      </c>
      <c r="C14" s="14" t="n">
        <v>275563</v>
      </c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4" t="n">
        <v>1412.795</v>
      </c>
      <c r="O14" s="14" t="n">
        <v>275563</v>
      </c>
      <c r="P14" s="14" t="n">
        <v>195</v>
      </c>
      <c r="Q14" s="15" t="n"/>
      <c r="R14" s="15" t="n"/>
      <c r="S14" s="14" t="n">
        <v>762.3</v>
      </c>
      <c r="T14" s="14" t="n">
        <v>148685</v>
      </c>
      <c r="U14" s="15" t="n"/>
      <c r="V14" s="15" t="n"/>
      <c r="W14" s="14" t="n">
        <v>762.3</v>
      </c>
      <c r="X14" s="14" t="n">
        <v>148685</v>
      </c>
      <c r="Y14" s="14" t="n">
        <v>256.32</v>
      </c>
      <c r="Z14" s="14" t="n">
        <v>51264</v>
      </c>
      <c r="AA14" s="14" t="n">
        <v>394.175</v>
      </c>
      <c r="AB14" s="14" t="n">
        <v>76883</v>
      </c>
      <c r="AC14" s="14" t="n">
        <v>1269</v>
      </c>
      <c r="AD14" s="16" t="n">
        <v>0.0248</v>
      </c>
      <c r="AE14" s="15" t="n"/>
      <c r="AF14" s="15" t="n"/>
      <c r="AG14" s="15" t="n"/>
      <c r="AH14" s="15" t="n"/>
      <c r="AI14" s="15" t="n"/>
    </row>
    <row r="15">
      <c r="A15" s="13" t="inlineStr">
        <is>
          <t>Precious stones JOS 250</t>
        </is>
      </c>
      <c r="B15" s="14" t="n">
        <v>250.9</v>
      </c>
      <c r="C15" s="14" t="n">
        <v>57383</v>
      </c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4" t="n">
        <v>250.9</v>
      </c>
      <c r="O15" s="14" t="n">
        <v>57383</v>
      </c>
      <c r="P15" s="14" t="n">
        <v>229</v>
      </c>
      <c r="Q15" s="15" t="n"/>
      <c r="R15" s="15" t="n"/>
      <c r="S15" s="14" t="n">
        <v>216.2</v>
      </c>
      <c r="T15" s="14" t="n">
        <v>49447</v>
      </c>
      <c r="U15" s="15" t="n"/>
      <c r="V15" s="15" t="n"/>
      <c r="W15" s="14" t="n">
        <v>216.2</v>
      </c>
      <c r="X15" s="14" t="n">
        <v>49447</v>
      </c>
      <c r="Y15" s="15" t="n"/>
      <c r="Z15" s="15" t="n"/>
      <c r="AA15" s="14" t="n">
        <v>34.7</v>
      </c>
      <c r="AB15" s="14" t="n">
        <v>7936</v>
      </c>
      <c r="AC15" s="14" t="n">
        <v>-0</v>
      </c>
      <c r="AD15" s="16" t="n">
        <v>0</v>
      </c>
      <c r="AE15" s="15" t="n"/>
      <c r="AF15" s="15" t="n"/>
      <c r="AG15" s="15" t="n"/>
      <c r="AH15" s="15" t="n"/>
      <c r="AI15" s="15" t="n"/>
    </row>
    <row r="16">
      <c r="A16" s="13" t="inlineStr">
        <is>
          <t>Precious stones JOS 300</t>
        </is>
      </c>
      <c r="B16" s="14" t="n">
        <v>1812.845</v>
      </c>
      <c r="C16" s="14" t="n">
        <v>506933</v>
      </c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4" t="n">
        <v>1812.845</v>
      </c>
      <c r="O16" s="14" t="n">
        <v>506933</v>
      </c>
      <c r="P16" s="14" t="n">
        <v>280</v>
      </c>
      <c r="Q16" s="15" t="n"/>
      <c r="R16" s="15" t="n"/>
      <c r="S16" s="14" t="n">
        <v>1701.45</v>
      </c>
      <c r="T16" s="14" t="n">
        <v>475783</v>
      </c>
      <c r="U16" s="15" t="n"/>
      <c r="V16" s="15" t="n"/>
      <c r="W16" s="14" t="n">
        <v>1701.45</v>
      </c>
      <c r="X16" s="14" t="n">
        <v>475783</v>
      </c>
      <c r="Y16" s="14" t="n">
        <v>10</v>
      </c>
      <c r="Z16" s="14" t="n">
        <v>3000</v>
      </c>
      <c r="AA16" s="14" t="n">
        <v>101.395</v>
      </c>
      <c r="AB16" s="14" t="n">
        <v>28353</v>
      </c>
      <c r="AC16" s="14" t="n">
        <v>204</v>
      </c>
      <c r="AD16" s="16" t="n">
        <v>0.0679</v>
      </c>
      <c r="AE16" s="15" t="n"/>
      <c r="AF16" s="15" t="n"/>
      <c r="AG16" s="15" t="n"/>
      <c r="AH16" s="15" t="n"/>
      <c r="AI16" s="15" t="n"/>
    </row>
    <row r="17">
      <c r="A17" s="13" t="inlineStr">
        <is>
          <t>Precious stones JOS 350</t>
        </is>
      </c>
      <c r="B17" s="14" t="n">
        <v>1890.86</v>
      </c>
      <c r="C17" s="14" t="n">
        <v>640285</v>
      </c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4" t="n">
        <v>1890.86</v>
      </c>
      <c r="O17" s="14" t="n">
        <v>640285</v>
      </c>
      <c r="P17" s="14" t="n">
        <v>339</v>
      </c>
      <c r="Q17" s="15" t="n"/>
      <c r="R17" s="15" t="n"/>
      <c r="S17" s="15" t="n"/>
      <c r="T17" s="15" t="n"/>
      <c r="U17" s="15" t="n"/>
      <c r="V17" s="15" t="n"/>
      <c r="W17" s="15" t="n"/>
      <c r="X17" s="15" t="n"/>
      <c r="Y17" s="14" t="n">
        <v>612.64</v>
      </c>
      <c r="Z17" s="14" t="n">
        <v>214424</v>
      </c>
      <c r="AA17" s="14" t="n">
        <v>1278.22</v>
      </c>
      <c r="AB17" s="14" t="n">
        <v>432832</v>
      </c>
      <c r="AC17" s="14" t="n">
        <v>6971</v>
      </c>
      <c r="AD17" s="16" t="n">
        <v>0.0325</v>
      </c>
      <c r="AE17" s="15" t="n"/>
      <c r="AF17" s="15" t="n"/>
      <c r="AG17" s="15" t="n"/>
      <c r="AH17" s="15" t="n"/>
      <c r="AI17" s="15" t="n"/>
    </row>
    <row r="18">
      <c r="A18" s="13" t="inlineStr">
        <is>
          <t>Precious stones JOS 400</t>
        </is>
      </c>
      <c r="B18" s="14" t="n">
        <v>27.28</v>
      </c>
      <c r="C18" s="14" t="n">
        <v>7769</v>
      </c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4" t="n">
        <v>27.28</v>
      </c>
      <c r="O18" s="14" t="n">
        <v>7769</v>
      </c>
      <c r="P18" s="14" t="n">
        <v>285</v>
      </c>
      <c r="Q18" s="15" t="n"/>
      <c r="R18" s="15" t="n"/>
      <c r="S18" s="15" t="n"/>
      <c r="T18" s="15" t="n"/>
      <c r="U18" s="15" t="n"/>
      <c r="V18" s="15" t="n"/>
      <c r="W18" s="15" t="n"/>
      <c r="X18" s="15" t="n"/>
      <c r="Y18" s="14" t="n">
        <v>27.28</v>
      </c>
      <c r="Z18" s="14" t="n">
        <v>10912</v>
      </c>
      <c r="AA18" s="14" t="n">
        <v>0</v>
      </c>
      <c r="AB18" s="14" t="n">
        <v>0</v>
      </c>
      <c r="AC18" s="14" t="n">
        <v>3143</v>
      </c>
      <c r="AD18" s="16" t="n">
        <v>0.288</v>
      </c>
      <c r="AE18" s="15" t="n"/>
      <c r="AF18" s="15" t="n"/>
      <c r="AG18" s="15" t="n"/>
      <c r="AH18" s="15" t="n"/>
      <c r="AI18" s="15" t="n"/>
    </row>
    <row r="19">
      <c r="A19" s="13" t="inlineStr">
        <is>
          <t>Precious stones JOS 450</t>
        </is>
      </c>
      <c r="B19" s="14" t="n">
        <v>2767.795</v>
      </c>
      <c r="C19" s="14" t="n">
        <v>1195487</v>
      </c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4" t="n">
        <v>2767.795</v>
      </c>
      <c r="O19" s="14" t="n">
        <v>1195487</v>
      </c>
      <c r="P19" s="14" t="n">
        <v>432</v>
      </c>
      <c r="Q19" s="15" t="n"/>
      <c r="R19" s="15" t="n"/>
      <c r="S19" s="14" t="n">
        <v>2700.06</v>
      </c>
      <c r="T19" s="14" t="n">
        <v>1166230</v>
      </c>
      <c r="U19" s="15" t="n"/>
      <c r="V19" s="15" t="n"/>
      <c r="W19" s="14" t="n">
        <v>2700.06</v>
      </c>
      <c r="X19" s="14" t="n">
        <v>1166230</v>
      </c>
      <c r="Y19" s="15" t="n"/>
      <c r="Z19" s="15" t="n"/>
      <c r="AA19" s="14" t="n">
        <v>67.735</v>
      </c>
      <c r="AB19" s="14" t="n">
        <v>29257</v>
      </c>
      <c r="AC19" s="14" t="n">
        <v>0</v>
      </c>
      <c r="AD19" s="16" t="n">
        <v>0</v>
      </c>
      <c r="AE19" s="15" t="n"/>
      <c r="AF19" s="15" t="n"/>
      <c r="AG19" s="15" t="n"/>
      <c r="AH19" s="15" t="n"/>
      <c r="AI19" s="15" t="n"/>
    </row>
    <row r="20">
      <c r="A20" s="13" t="inlineStr">
        <is>
          <t>Precious stones JOS 500</t>
        </is>
      </c>
      <c r="B20" s="14" t="n">
        <v>789.15</v>
      </c>
      <c r="C20" s="14" t="n">
        <v>366398</v>
      </c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4" t="n">
        <v>789.15</v>
      </c>
      <c r="O20" s="14" t="n">
        <v>366398</v>
      </c>
      <c r="P20" s="14" t="n">
        <v>464</v>
      </c>
      <c r="Q20" s="15" t="n"/>
      <c r="R20" s="15" t="n"/>
      <c r="S20" s="14" t="n">
        <v>751.22</v>
      </c>
      <c r="T20" s="14" t="n">
        <v>348787</v>
      </c>
      <c r="U20" s="15" t="n"/>
      <c r="V20" s="15" t="n"/>
      <c r="W20" s="14" t="n">
        <v>751.22</v>
      </c>
      <c r="X20" s="14" t="n">
        <v>348787</v>
      </c>
      <c r="Y20" s="14" t="n">
        <v>2.67</v>
      </c>
      <c r="Z20" s="14" t="n">
        <v>1335</v>
      </c>
      <c r="AA20" s="14" t="n">
        <v>35.26</v>
      </c>
      <c r="AB20" s="14" t="n">
        <v>16371</v>
      </c>
      <c r="AC20" s="14" t="n">
        <v>95</v>
      </c>
      <c r="AD20" s="16" t="n">
        <v>0.07140000000000001</v>
      </c>
      <c r="AE20" s="15" t="n"/>
      <c r="AF20" s="15" t="n"/>
      <c r="AG20" s="15" t="n"/>
      <c r="AH20" s="15" t="n"/>
      <c r="AI20" s="15" t="n"/>
    </row>
    <row r="21">
      <c r="A21" s="13" t="inlineStr">
        <is>
          <t>Precious stones JOS 550</t>
        </is>
      </c>
      <c r="B21" s="14" t="n">
        <v>813.83</v>
      </c>
      <c r="C21" s="14" t="n">
        <v>431330</v>
      </c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4" t="n">
        <v>813.83</v>
      </c>
      <c r="O21" s="14" t="n">
        <v>431330</v>
      </c>
      <c r="P21" s="14" t="n">
        <v>530</v>
      </c>
      <c r="Q21" s="15" t="n"/>
      <c r="R21" s="15" t="n"/>
      <c r="S21" s="14" t="n">
        <v>751.0599999999999</v>
      </c>
      <c r="T21" s="14" t="n">
        <v>398062</v>
      </c>
      <c r="U21" s="15" t="n"/>
      <c r="V21" s="15" t="n"/>
      <c r="W21" s="14" t="n">
        <v>751.0599999999999</v>
      </c>
      <c r="X21" s="14" t="n">
        <v>398062</v>
      </c>
      <c r="Y21" s="14" t="n">
        <v>2.8</v>
      </c>
      <c r="Z21" s="14" t="n">
        <v>1540</v>
      </c>
      <c r="AA21" s="14" t="n">
        <v>59.97</v>
      </c>
      <c r="AB21" s="14" t="n">
        <v>31784</v>
      </c>
      <c r="AC21" s="14" t="n">
        <v>56</v>
      </c>
      <c r="AD21" s="16" t="n">
        <v>0.0364</v>
      </c>
      <c r="AE21" s="15" t="n"/>
      <c r="AF21" s="15" t="n"/>
      <c r="AG21" s="15" t="n"/>
      <c r="AH21" s="15" t="n"/>
      <c r="AI21" s="15" t="n"/>
    </row>
    <row r="22">
      <c r="A22" s="13" t="inlineStr">
        <is>
          <t>Precious stones JOS 600</t>
        </is>
      </c>
      <c r="B22" s="14" t="n">
        <v>3938.17</v>
      </c>
      <c r="C22" s="14" t="n">
        <v>2281681</v>
      </c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4" t="n">
        <v>3938.17</v>
      </c>
      <c r="O22" s="14" t="n">
        <v>2281681</v>
      </c>
      <c r="P22" s="14" t="n">
        <v>579</v>
      </c>
      <c r="Q22" s="15" t="n"/>
      <c r="R22" s="15" t="n"/>
      <c r="S22" s="14" t="n">
        <v>2951.86</v>
      </c>
      <c r="T22" s="14" t="n">
        <v>1710237</v>
      </c>
      <c r="U22" s="15" t="n"/>
      <c r="V22" s="15" t="n"/>
      <c r="W22" s="14" t="n">
        <v>2951.86</v>
      </c>
      <c r="X22" s="14" t="n">
        <v>1710237</v>
      </c>
      <c r="Y22" s="14" t="n">
        <v>44.93</v>
      </c>
      <c r="Z22" s="14" t="n">
        <v>26958</v>
      </c>
      <c r="AA22" s="14" t="n">
        <v>941.38</v>
      </c>
      <c r="AB22" s="14" t="n">
        <v>545413</v>
      </c>
      <c r="AC22" s="14" t="n">
        <v>927</v>
      </c>
      <c r="AD22" s="16" t="n">
        <v>0.0344</v>
      </c>
      <c r="AE22" s="15" t="n"/>
      <c r="AF22" s="15" t="n"/>
      <c r="AG22" s="15" t="n"/>
      <c r="AH22" s="15" t="n"/>
      <c r="AI22" s="15" t="n"/>
    </row>
    <row r="23">
      <c r="A23" s="13" t="inlineStr">
        <is>
          <t>Precious stones JOS 650</t>
        </is>
      </c>
      <c r="B23" s="14" t="n">
        <v>940.72</v>
      </c>
      <c r="C23" s="14" t="n">
        <v>591376</v>
      </c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4" t="n">
        <v>940.72</v>
      </c>
      <c r="O23" s="14" t="n">
        <v>591376</v>
      </c>
      <c r="P23" s="14" t="n">
        <v>629</v>
      </c>
      <c r="Q23" s="15" t="n"/>
      <c r="R23" s="15" t="n"/>
      <c r="S23" s="14" t="n">
        <v>900.1900000000001</v>
      </c>
      <c r="T23" s="14" t="n">
        <v>565897</v>
      </c>
      <c r="U23" s="15" t="n"/>
      <c r="V23" s="15" t="n"/>
      <c r="W23" s="14" t="n">
        <v>900.1900000000001</v>
      </c>
      <c r="X23" s="14" t="n">
        <v>565897</v>
      </c>
      <c r="Y23" s="15" t="n"/>
      <c r="Z23" s="15" t="n"/>
      <c r="AA23" s="14" t="n">
        <v>40.53</v>
      </c>
      <c r="AB23" s="14" t="n">
        <v>25479</v>
      </c>
      <c r="AC23" s="14" t="n">
        <v>0</v>
      </c>
      <c r="AD23" s="16" t="n">
        <v>0</v>
      </c>
      <c r="AE23" s="15" t="n"/>
      <c r="AF23" s="15" t="n"/>
      <c r="AG23" s="15" t="n"/>
      <c r="AH23" s="15" t="n"/>
      <c r="AI23" s="15" t="n"/>
    </row>
    <row r="24">
      <c r="A24" s="13" t="inlineStr">
        <is>
          <t>Precious stones JOS 700</t>
        </is>
      </c>
      <c r="B24" s="14" t="n">
        <v>1107.85</v>
      </c>
      <c r="C24" s="14" t="n">
        <v>670025</v>
      </c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4" t="n">
        <v>1107.85</v>
      </c>
      <c r="O24" s="14" t="n">
        <v>670025</v>
      </c>
      <c r="P24" s="14" t="n">
        <v>605</v>
      </c>
      <c r="Q24" s="15" t="n"/>
      <c r="R24" s="15" t="n"/>
      <c r="S24" s="14" t="n">
        <v>1050.19</v>
      </c>
      <c r="T24" s="14" t="n">
        <v>635152</v>
      </c>
      <c r="U24" s="15" t="n"/>
      <c r="V24" s="15" t="n"/>
      <c r="W24" s="14" t="n">
        <v>1050.19</v>
      </c>
      <c r="X24" s="14" t="n">
        <v>635152</v>
      </c>
      <c r="Y24" s="14" t="n">
        <v>26.83</v>
      </c>
      <c r="Z24" s="14" t="n">
        <v>18781</v>
      </c>
      <c r="AA24" s="14" t="n">
        <v>30.83</v>
      </c>
      <c r="AB24" s="14" t="n">
        <v>18646</v>
      </c>
      <c r="AC24" s="14" t="n">
        <v>2554</v>
      </c>
      <c r="AD24" s="16" t="n">
        <v>0.136</v>
      </c>
      <c r="AE24" s="15" t="n"/>
      <c r="AF24" s="15" t="n"/>
      <c r="AG24" s="15" t="n"/>
      <c r="AH24" s="15" t="n"/>
      <c r="AI24" s="15" t="n"/>
    </row>
    <row r="25">
      <c r="A25" s="13" t="inlineStr">
        <is>
          <t>Precious stones JOS 750</t>
        </is>
      </c>
      <c r="B25" s="14" t="n">
        <v>1886.895</v>
      </c>
      <c r="C25" s="14" t="n">
        <v>1377433</v>
      </c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4" t="n">
        <v>1886.895</v>
      </c>
      <c r="O25" s="14" t="n">
        <v>1377433</v>
      </c>
      <c r="P25" s="14" t="n">
        <v>730</v>
      </c>
      <c r="Q25" s="15" t="n"/>
      <c r="R25" s="15" t="n"/>
      <c r="S25" s="14" t="n">
        <v>1800.24</v>
      </c>
      <c r="T25" s="14" t="n">
        <v>1314175</v>
      </c>
      <c r="U25" s="15" t="n"/>
      <c r="V25" s="15" t="n"/>
      <c r="W25" s="14" t="n">
        <v>1800.24</v>
      </c>
      <c r="X25" s="14" t="n">
        <v>1314175</v>
      </c>
      <c r="Y25" s="14" t="n">
        <v>37.94</v>
      </c>
      <c r="Z25" s="14" t="n">
        <v>28455</v>
      </c>
      <c r="AA25" s="14" t="n">
        <v>48.715</v>
      </c>
      <c r="AB25" s="14" t="n">
        <v>35562</v>
      </c>
      <c r="AC25" s="14" t="n">
        <v>759</v>
      </c>
      <c r="AD25" s="16" t="n">
        <v>0.0267</v>
      </c>
      <c r="AE25" s="15" t="n"/>
      <c r="AF25" s="15" t="n"/>
      <c r="AG25" s="15" t="n"/>
      <c r="AH25" s="15" t="n"/>
      <c r="AI25" s="15" t="n"/>
    </row>
    <row r="26">
      <c r="A26" s="13" t="inlineStr">
        <is>
          <t>Precious stones JOS 800</t>
        </is>
      </c>
      <c r="B26" s="14" t="n">
        <v>554.78</v>
      </c>
      <c r="C26" s="14" t="n">
        <v>354602</v>
      </c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4" t="n">
        <v>554.78</v>
      </c>
      <c r="O26" s="14" t="n">
        <v>354602</v>
      </c>
      <c r="P26" s="14" t="n">
        <v>639</v>
      </c>
      <c r="Q26" s="15" t="n"/>
      <c r="R26" s="15" t="n"/>
      <c r="S26" s="14" t="n">
        <v>501.15</v>
      </c>
      <c r="T26" s="14" t="n">
        <v>320323</v>
      </c>
      <c r="U26" s="15" t="n"/>
      <c r="V26" s="15" t="n"/>
      <c r="W26" s="14" t="n">
        <v>501.15</v>
      </c>
      <c r="X26" s="14" t="n">
        <v>320323</v>
      </c>
      <c r="Y26" s="14" t="n">
        <v>24.61</v>
      </c>
      <c r="Z26" s="14" t="n">
        <v>19688</v>
      </c>
      <c r="AA26" s="14" t="n">
        <v>29.02</v>
      </c>
      <c r="AB26" s="14" t="n">
        <v>18549</v>
      </c>
      <c r="AC26" s="14" t="n">
        <v>3958</v>
      </c>
      <c r="AD26" s="16" t="n">
        <v>0.201</v>
      </c>
      <c r="AE26" s="15" t="n"/>
      <c r="AF26" s="15" t="n"/>
      <c r="AG26" s="15" t="n"/>
      <c r="AH26" s="15" t="n"/>
      <c r="AI26" s="15" t="n"/>
    </row>
    <row r="27">
      <c r="A27" s="13" t="inlineStr">
        <is>
          <t>Precious stones JOS 900</t>
        </is>
      </c>
      <c r="B27" s="14" t="n">
        <v>5443.82</v>
      </c>
      <c r="C27" s="14" t="n">
        <v>4953876</v>
      </c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4" t="n">
        <v>5443.82</v>
      </c>
      <c r="O27" s="14" t="n">
        <v>4953876</v>
      </c>
      <c r="P27" s="14" t="n">
        <v>910</v>
      </c>
      <c r="Q27" s="15" t="n"/>
      <c r="R27" s="15" t="n"/>
      <c r="S27" s="14" t="n">
        <v>4423.12</v>
      </c>
      <c r="T27" s="14" t="n">
        <v>4025039</v>
      </c>
      <c r="U27" s="15" t="n"/>
      <c r="V27" s="15" t="n"/>
      <c r="W27" s="14" t="n">
        <v>4423.12</v>
      </c>
      <c r="X27" s="14" t="n">
        <v>4025039</v>
      </c>
      <c r="Y27" s="14" t="n">
        <v>82.79000000000001</v>
      </c>
      <c r="Z27" s="14" t="n">
        <v>74836</v>
      </c>
      <c r="AA27" s="14" t="n">
        <v>937.91</v>
      </c>
      <c r="AB27" s="14" t="n">
        <v>853498</v>
      </c>
      <c r="AC27" s="14" t="n">
        <v>-503</v>
      </c>
      <c r="AD27" s="16" t="n">
        <v>0</v>
      </c>
      <c r="AE27" s="15" t="n"/>
      <c r="AF27" s="15" t="n"/>
      <c r="AG27" s="15" t="n"/>
      <c r="AH27" s="15" t="n"/>
      <c r="AI27" s="15" t="n"/>
    </row>
    <row r="28">
      <c r="A28" s="13" t="inlineStr">
        <is>
          <t>Precious stones JOS 1000</t>
        </is>
      </c>
      <c r="B28" s="14" t="n">
        <v>78.91</v>
      </c>
      <c r="C28" s="14" t="n">
        <v>74894</v>
      </c>
      <c r="D28" s="15" t="n"/>
      <c r="E28" s="15" t="n"/>
      <c r="F28" s="15" t="n"/>
      <c r="G28" s="15" t="n"/>
      <c r="H28" s="14" t="n">
        <v>481.26</v>
      </c>
      <c r="I28" s="14" t="n">
        <v>70385</v>
      </c>
      <c r="J28" s="15" t="n"/>
      <c r="K28" s="15" t="n"/>
      <c r="L28" s="14" t="n">
        <v>481.26</v>
      </c>
      <c r="M28" s="14" t="n">
        <v>70385</v>
      </c>
      <c r="N28" s="14" t="n">
        <v>560.17</v>
      </c>
      <c r="O28" s="14" t="n">
        <v>145279</v>
      </c>
      <c r="P28" s="14" t="n">
        <v>259</v>
      </c>
      <c r="Q28" s="15" t="n"/>
      <c r="R28" s="15" t="n"/>
      <c r="S28" s="15" t="n"/>
      <c r="T28" s="15" t="n"/>
      <c r="U28" s="15" t="n"/>
      <c r="V28" s="15" t="n"/>
      <c r="W28" s="15" t="n"/>
      <c r="X28" s="15" t="n"/>
      <c r="Y28" s="14" t="n">
        <v>105.29</v>
      </c>
      <c r="Z28" s="14" t="n">
        <v>105290</v>
      </c>
      <c r="AA28" s="14" t="n">
        <v>454.88</v>
      </c>
      <c r="AB28" s="14" t="n">
        <v>117972</v>
      </c>
      <c r="AC28" s="14" t="n">
        <v>77983</v>
      </c>
      <c r="AD28" s="16" t="n">
        <v>0.7407</v>
      </c>
      <c r="AE28" s="15" t="n"/>
      <c r="AF28" s="15" t="n"/>
      <c r="AG28" s="15" t="n"/>
      <c r="AH28" s="15" t="n"/>
      <c r="AI28" s="15" t="n"/>
    </row>
    <row r="29">
      <c r="A29" s="13" t="inlineStr">
        <is>
          <t>Precious stones JOS 1100</t>
        </is>
      </c>
      <c r="B29" s="14" t="n">
        <v>693.355</v>
      </c>
      <c r="C29" s="14" t="n">
        <v>624372</v>
      </c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4" t="n">
        <v>693.355</v>
      </c>
      <c r="O29" s="14" t="n">
        <v>624372</v>
      </c>
      <c r="P29" s="14" t="n">
        <v>901</v>
      </c>
      <c r="Q29" s="15" t="n"/>
      <c r="R29" s="15" t="n"/>
      <c r="S29" s="14" t="n">
        <v>652.1799999999999</v>
      </c>
      <c r="T29" s="14" t="n">
        <v>587294</v>
      </c>
      <c r="U29" s="15" t="n"/>
      <c r="V29" s="15" t="n"/>
      <c r="W29" s="14" t="n">
        <v>652.1799999999999</v>
      </c>
      <c r="X29" s="14" t="n">
        <v>587294</v>
      </c>
      <c r="Y29" s="14" t="n">
        <v>15.99</v>
      </c>
      <c r="Z29" s="14" t="n">
        <v>17589</v>
      </c>
      <c r="AA29" s="14" t="n">
        <v>25.185</v>
      </c>
      <c r="AB29" s="14" t="n">
        <v>22679</v>
      </c>
      <c r="AC29" s="14" t="n">
        <v>3190</v>
      </c>
      <c r="AD29" s="16" t="n">
        <v>0.1814</v>
      </c>
      <c r="AE29" s="15" t="n"/>
      <c r="AF29" s="15" t="n"/>
      <c r="AG29" s="15" t="n"/>
      <c r="AH29" s="15" t="n"/>
      <c r="AI29" s="15" t="n"/>
    </row>
    <row r="30">
      <c r="A30" s="13" t="inlineStr">
        <is>
          <t>Precious stones JOS 1200</t>
        </is>
      </c>
      <c r="B30" s="14" t="n">
        <v>172.92</v>
      </c>
      <c r="C30" s="14" t="n">
        <v>207504</v>
      </c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4" t="n">
        <v>172.92</v>
      </c>
      <c r="O30" s="14" t="n">
        <v>207504</v>
      </c>
      <c r="P30" s="14" t="n">
        <v>1200</v>
      </c>
      <c r="Q30" s="15" t="n"/>
      <c r="R30" s="15" t="n"/>
      <c r="S30" s="14" t="n">
        <v>124.27</v>
      </c>
      <c r="T30" s="14" t="n">
        <v>149124</v>
      </c>
      <c r="U30" s="15" t="n"/>
      <c r="V30" s="15" t="n"/>
      <c r="W30" s="14" t="n">
        <v>124.27</v>
      </c>
      <c r="X30" s="14" t="n">
        <v>149124</v>
      </c>
      <c r="Y30" s="15" t="n"/>
      <c r="Z30" s="15" t="n"/>
      <c r="AA30" s="14" t="n">
        <v>48.65</v>
      </c>
      <c r="AB30" s="14" t="n">
        <v>58380</v>
      </c>
      <c r="AC30" s="14" t="n">
        <v>0</v>
      </c>
      <c r="AD30" s="16" t="n">
        <v>0</v>
      </c>
      <c r="AE30" s="15" t="n"/>
      <c r="AF30" s="15" t="n"/>
      <c r="AG30" s="15" t="n"/>
      <c r="AH30" s="15" t="n"/>
      <c r="AI30" s="15" t="n"/>
    </row>
    <row r="31">
      <c r="A31" s="13" t="inlineStr">
        <is>
          <t>Precious stones JOS 1300</t>
        </is>
      </c>
      <c r="B31" s="14" t="n">
        <v>3.36</v>
      </c>
      <c r="C31" s="14" t="n">
        <v>3054</v>
      </c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4" t="n">
        <v>3.36</v>
      </c>
      <c r="O31" s="14" t="n">
        <v>3054</v>
      </c>
      <c r="P31" s="14" t="n">
        <v>909</v>
      </c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4" t="n">
        <v>3.36</v>
      </c>
      <c r="AB31" s="14" t="n">
        <v>3054</v>
      </c>
      <c r="AC31" s="14" t="n">
        <v>0</v>
      </c>
      <c r="AD31" s="16" t="n">
        <v>0</v>
      </c>
      <c r="AE31" s="15" t="n"/>
      <c r="AF31" s="15" t="n"/>
      <c r="AG31" s="15" t="n"/>
      <c r="AH31" s="15" t="n"/>
      <c r="AI31" s="15" t="n"/>
    </row>
    <row r="32">
      <c r="A32" s="13" t="inlineStr">
        <is>
          <t>Precious stones JOS 1400</t>
        </is>
      </c>
      <c r="B32" s="14" t="n">
        <v>109.52</v>
      </c>
      <c r="C32" s="14" t="n">
        <v>150590</v>
      </c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4" t="n">
        <v>109.52</v>
      </c>
      <c r="O32" s="14" t="n">
        <v>150590</v>
      </c>
      <c r="P32" s="14" t="n">
        <v>1375</v>
      </c>
      <c r="Q32" s="15" t="n"/>
      <c r="R32" s="15" t="n"/>
      <c r="S32" s="14" t="n">
        <v>101.63</v>
      </c>
      <c r="T32" s="14" t="n">
        <v>139741</v>
      </c>
      <c r="U32" s="15" t="n"/>
      <c r="V32" s="15" t="n"/>
      <c r="W32" s="14" t="n">
        <v>101.63</v>
      </c>
      <c r="X32" s="14" t="n">
        <v>139741</v>
      </c>
      <c r="Y32" s="15" t="n"/>
      <c r="Z32" s="15" t="n"/>
      <c r="AA32" s="14" t="n">
        <v>7.89</v>
      </c>
      <c r="AB32" s="14" t="n">
        <v>10849</v>
      </c>
      <c r="AC32" s="14" t="n">
        <v>0</v>
      </c>
      <c r="AD32" s="16" t="n">
        <v>0</v>
      </c>
      <c r="AE32" s="15" t="n"/>
      <c r="AF32" s="15" t="n"/>
      <c r="AG32" s="15" t="n"/>
      <c r="AH32" s="15" t="n"/>
      <c r="AI32" s="15" t="n"/>
    </row>
    <row r="33">
      <c r="A33" s="13" t="inlineStr">
        <is>
          <t>Precious stones JOS 1600</t>
        </is>
      </c>
      <c r="B33" s="14" t="n">
        <v>2.65</v>
      </c>
      <c r="C33" s="14" t="n">
        <v>2956</v>
      </c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4" t="n">
        <v>2.65</v>
      </c>
      <c r="O33" s="14" t="n">
        <v>2956</v>
      </c>
      <c r="P33" s="14" t="n">
        <v>1115</v>
      </c>
      <c r="Q33" s="15" t="n"/>
      <c r="R33" s="15" t="n"/>
      <c r="S33" s="15" t="n"/>
      <c r="T33" s="15" t="n"/>
      <c r="U33" s="15" t="n"/>
      <c r="V33" s="15" t="n"/>
      <c r="W33" s="15" t="n"/>
      <c r="X33" s="15" t="n"/>
      <c r="Y33" s="14" t="n">
        <v>2.65</v>
      </c>
      <c r="Z33" s="14" t="n">
        <v>4240</v>
      </c>
      <c r="AA33" s="14" t="n">
        <v>0</v>
      </c>
      <c r="AB33" s="14" t="n">
        <v>0</v>
      </c>
      <c r="AC33" s="14" t="n">
        <v>1284</v>
      </c>
      <c r="AD33" s="16" t="n">
        <v>0.3028</v>
      </c>
      <c r="AE33" s="15" t="n"/>
      <c r="AF33" s="15" t="n"/>
      <c r="AG33" s="15" t="n"/>
      <c r="AH33" s="15" t="n"/>
      <c r="AI33" s="15" t="n"/>
    </row>
    <row r="34">
      <c r="A34" s="13" t="inlineStr">
        <is>
          <t>Precious stones JOS 1700</t>
        </is>
      </c>
      <c r="B34" s="14" t="n">
        <v>85.03</v>
      </c>
      <c r="C34" s="14" t="n">
        <v>143275</v>
      </c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4" t="n">
        <v>85.03</v>
      </c>
      <c r="O34" s="14" t="n">
        <v>143275</v>
      </c>
      <c r="P34" s="14" t="n">
        <v>1685</v>
      </c>
      <c r="Q34" s="15" t="n"/>
      <c r="R34" s="15" t="n"/>
      <c r="S34" s="14" t="n">
        <v>15.02</v>
      </c>
      <c r="T34" s="14" t="n">
        <v>25309</v>
      </c>
      <c r="U34" s="15" t="n"/>
      <c r="V34" s="15" t="n"/>
      <c r="W34" s="14" t="n">
        <v>15.02</v>
      </c>
      <c r="X34" s="14" t="n">
        <v>25309</v>
      </c>
      <c r="Y34" s="15" t="n"/>
      <c r="Z34" s="15" t="n"/>
      <c r="AA34" s="14" t="n">
        <v>70.01000000000001</v>
      </c>
      <c r="AB34" s="14" t="n">
        <v>117966</v>
      </c>
      <c r="AC34" s="14" t="n">
        <v>-0</v>
      </c>
      <c r="AD34" s="16" t="n">
        <v>0</v>
      </c>
      <c r="AE34" s="15" t="n"/>
      <c r="AF34" s="15" t="n"/>
      <c r="AG34" s="15" t="n"/>
      <c r="AH34" s="15" t="n"/>
      <c r="AI34" s="15" t="n"/>
    </row>
    <row r="35">
      <c r="A35" s="13" t="inlineStr">
        <is>
          <t>Precious stones JOS 1800</t>
        </is>
      </c>
      <c r="B35" s="14" t="n">
        <v>17.68</v>
      </c>
      <c r="C35" s="14" t="n">
        <v>22819</v>
      </c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4" t="n">
        <v>17.68</v>
      </c>
      <c r="O35" s="14" t="n">
        <v>22819</v>
      </c>
      <c r="P35" s="14" t="n">
        <v>1291</v>
      </c>
      <c r="Q35" s="15" t="n"/>
      <c r="R35" s="15" t="n"/>
      <c r="S35" s="15" t="n"/>
      <c r="T35" s="15" t="n"/>
      <c r="U35" s="15" t="n"/>
      <c r="V35" s="15" t="n"/>
      <c r="W35" s="15" t="n"/>
      <c r="X35" s="15" t="n"/>
      <c r="Y35" s="14" t="n">
        <v>17.68</v>
      </c>
      <c r="Z35" s="14" t="n">
        <v>34614</v>
      </c>
      <c r="AA35" s="14" t="n">
        <v>0</v>
      </c>
      <c r="AB35" s="14" t="n">
        <v>0</v>
      </c>
      <c r="AC35" s="14" t="n">
        <v>11795</v>
      </c>
      <c r="AD35" s="16" t="n">
        <v>0.3408</v>
      </c>
      <c r="AE35" s="15" t="n"/>
      <c r="AF35" s="15" t="n"/>
      <c r="AG35" s="15" t="n"/>
      <c r="AH35" s="15" t="n"/>
      <c r="AI35" s="15" t="n"/>
    </row>
    <row r="36">
      <c r="A36" s="13" t="inlineStr">
        <is>
          <t>Precious stones JOS 1900</t>
        </is>
      </c>
      <c r="B36" s="14" t="n">
        <v>48.57</v>
      </c>
      <c r="C36" s="14" t="n">
        <v>89612</v>
      </c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4" t="n">
        <v>48.57</v>
      </c>
      <c r="O36" s="14" t="n">
        <v>89612</v>
      </c>
      <c r="P36" s="14" t="n">
        <v>1845</v>
      </c>
      <c r="Q36" s="15" t="n"/>
      <c r="R36" s="15" t="n"/>
      <c r="S36" s="14" t="n">
        <v>40.35</v>
      </c>
      <c r="T36" s="14" t="n">
        <v>74446</v>
      </c>
      <c r="U36" s="15" t="n"/>
      <c r="V36" s="15" t="n"/>
      <c r="W36" s="14" t="n">
        <v>40.35</v>
      </c>
      <c r="X36" s="14" t="n">
        <v>74446</v>
      </c>
      <c r="Y36" s="15" t="n"/>
      <c r="Z36" s="15" t="n"/>
      <c r="AA36" s="14" t="n">
        <v>8.220000000000001</v>
      </c>
      <c r="AB36" s="14" t="n">
        <v>15166</v>
      </c>
      <c r="AC36" s="14" t="n">
        <v>-0</v>
      </c>
      <c r="AD36" s="16" t="n">
        <v>0</v>
      </c>
      <c r="AE36" s="15" t="n"/>
      <c r="AF36" s="15" t="n"/>
      <c r="AG36" s="15" t="n"/>
      <c r="AH36" s="15" t="n"/>
      <c r="AI36" s="15" t="n"/>
    </row>
    <row r="37">
      <c r="A37" s="13" t="inlineStr">
        <is>
          <t>Precious stones JOS 2000</t>
        </is>
      </c>
      <c r="B37" s="14" t="n">
        <v>57.87</v>
      </c>
      <c r="C37" s="14" t="n">
        <v>100625</v>
      </c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4" t="n">
        <v>57.87</v>
      </c>
      <c r="O37" s="14" t="n">
        <v>100625</v>
      </c>
      <c r="P37" s="14" t="n">
        <v>1739</v>
      </c>
      <c r="Q37" s="15" t="n"/>
      <c r="R37" s="15" t="n"/>
      <c r="S37" s="14" t="n">
        <v>50.05</v>
      </c>
      <c r="T37" s="14" t="n">
        <v>87027</v>
      </c>
      <c r="U37" s="15" t="n"/>
      <c r="V37" s="15" t="n"/>
      <c r="W37" s="14" t="n">
        <v>50.05</v>
      </c>
      <c r="X37" s="14" t="n">
        <v>87027</v>
      </c>
      <c r="Y37" s="14" t="n">
        <v>7.82</v>
      </c>
      <c r="Z37" s="14" t="n">
        <v>15640</v>
      </c>
      <c r="AA37" s="14" t="n">
        <v>0</v>
      </c>
      <c r="AB37" s="14" t="n">
        <v>0</v>
      </c>
      <c r="AC37" s="14" t="n">
        <v>2042</v>
      </c>
      <c r="AD37" s="16" t="n">
        <v>0.1306</v>
      </c>
      <c r="AE37" s="15" t="n"/>
      <c r="AF37" s="15" t="n"/>
      <c r="AG37" s="15" t="n"/>
      <c r="AH37" s="15" t="n"/>
      <c r="AI37" s="15" t="n"/>
    </row>
    <row r="38">
      <c r="A38" s="13" t="inlineStr">
        <is>
          <t>Precious stones JOS 2100</t>
        </is>
      </c>
      <c r="B38" s="14" t="n">
        <v>2.13</v>
      </c>
      <c r="C38" s="14" t="n">
        <v>4473</v>
      </c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4" t="n">
        <v>2.13</v>
      </c>
      <c r="O38" s="14" t="n">
        <v>4473</v>
      </c>
      <c r="P38" s="14" t="n">
        <v>2100</v>
      </c>
      <c r="Q38" s="15" t="n"/>
      <c r="R38" s="15" t="n"/>
      <c r="S38" s="15" t="n"/>
      <c r="T38" s="15" t="n"/>
      <c r="U38" s="15" t="n"/>
      <c r="V38" s="15" t="n"/>
      <c r="W38" s="15" t="n"/>
      <c r="X38" s="15" t="n"/>
      <c r="Y38" s="14" t="n">
        <v>2.13</v>
      </c>
      <c r="Z38" s="14" t="n">
        <v>4473</v>
      </c>
      <c r="AA38" s="14" t="n">
        <v>0</v>
      </c>
      <c r="AB38" s="14" t="n">
        <v>0</v>
      </c>
      <c r="AC38" s="14" t="n">
        <v>0</v>
      </c>
      <c r="AD38" s="16" t="n">
        <v>0</v>
      </c>
      <c r="AE38" s="15" t="n"/>
      <c r="AF38" s="15" t="n"/>
      <c r="AG38" s="15" t="n"/>
      <c r="AH38" s="15" t="n"/>
      <c r="AI38" s="15" t="n"/>
    </row>
    <row r="39">
      <c r="A39" s="13" t="inlineStr">
        <is>
          <t>Precious stones JOS 2500</t>
        </is>
      </c>
      <c r="B39" s="14" t="n">
        <v>8.210000000000001</v>
      </c>
      <c r="C39" s="14" t="n">
        <v>14675</v>
      </c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4" t="n">
        <v>8.210000000000001</v>
      </c>
      <c r="O39" s="14" t="n">
        <v>14675</v>
      </c>
      <c r="P39" s="14" t="n">
        <v>1787</v>
      </c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4" t="n">
        <v>8.210000000000001</v>
      </c>
      <c r="AB39" s="14" t="n">
        <v>14675</v>
      </c>
      <c r="AC39" s="14" t="n">
        <v>-0</v>
      </c>
      <c r="AD39" s="16" t="n">
        <v>0</v>
      </c>
      <c r="AE39" s="15" t="n"/>
      <c r="AF39" s="15" t="n"/>
      <c r="AG39" s="15" t="n"/>
      <c r="AH39" s="15" t="n"/>
      <c r="AI39" s="15" t="n"/>
    </row>
    <row r="40">
      <c r="A40" s="13" t="inlineStr">
        <is>
          <t>Precious stones JOS 3000</t>
        </is>
      </c>
      <c r="B40" s="14" t="n">
        <v>6.1</v>
      </c>
      <c r="C40" s="14" t="n">
        <v>12846</v>
      </c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4" t="n">
        <v>6.1</v>
      </c>
      <c r="O40" s="14" t="n">
        <v>12846</v>
      </c>
      <c r="P40" s="14" t="n">
        <v>2106</v>
      </c>
      <c r="Q40" s="15" t="n"/>
      <c r="R40" s="15" t="n"/>
      <c r="S40" s="15" t="n"/>
      <c r="T40" s="15" t="n"/>
      <c r="U40" s="15" t="n"/>
      <c r="V40" s="15" t="n"/>
      <c r="W40" s="15" t="n"/>
      <c r="X40" s="15" t="n"/>
      <c r="Y40" s="14" t="n">
        <v>6.1</v>
      </c>
      <c r="Z40" s="14" t="n">
        <v>18300</v>
      </c>
      <c r="AA40" s="14" t="n">
        <v>0</v>
      </c>
      <c r="AB40" s="14" t="n">
        <v>0</v>
      </c>
      <c r="AC40" s="14" t="n">
        <v>5454</v>
      </c>
      <c r="AD40" s="16" t="n">
        <v>0.298</v>
      </c>
      <c r="AE40" s="15" t="n"/>
      <c r="AF40" s="15" t="n"/>
      <c r="AG40" s="15" t="n"/>
      <c r="AH40" s="15" t="n"/>
      <c r="AI40" s="15" t="n"/>
    </row>
    <row r="41">
      <c r="A41" s="13" t="inlineStr">
        <is>
          <t>Precious stones JOS 3500</t>
        </is>
      </c>
      <c r="B41" s="14" t="n">
        <v>8.300000000000001</v>
      </c>
      <c r="C41" s="14" t="n">
        <v>20750</v>
      </c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4" t="n">
        <v>8.300000000000001</v>
      </c>
      <c r="O41" s="14" t="n">
        <v>20750</v>
      </c>
      <c r="P41" s="14" t="n">
        <v>2500</v>
      </c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4" t="n">
        <v>8.300000000000001</v>
      </c>
      <c r="AB41" s="14" t="n">
        <v>20750</v>
      </c>
      <c r="AC41" s="14" t="n">
        <v>0</v>
      </c>
      <c r="AD41" s="16" t="n">
        <v>0</v>
      </c>
      <c r="AE41" s="15" t="n"/>
      <c r="AF41" s="15" t="n"/>
      <c r="AG41" s="15" t="n"/>
      <c r="AH41" s="15" t="n"/>
      <c r="AI41" s="15" t="n"/>
    </row>
    <row r="42">
      <c r="A42" s="13" t="inlineStr">
        <is>
          <t>Precious stones JOS 5100</t>
        </is>
      </c>
      <c r="B42" s="14" t="n">
        <v>11.53</v>
      </c>
      <c r="C42" s="14" t="n">
        <v>58803</v>
      </c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4" t="n">
        <v>11.53</v>
      </c>
      <c r="O42" s="14" t="n">
        <v>58803</v>
      </c>
      <c r="P42" s="14" t="n">
        <v>5100</v>
      </c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4" t="n">
        <v>11.53</v>
      </c>
      <c r="AB42" s="14" t="n">
        <v>58803</v>
      </c>
      <c r="AC42" s="14" t="n">
        <v>0</v>
      </c>
      <c r="AD42" s="16" t="n">
        <v>0</v>
      </c>
      <c r="AE42" s="15" t="n"/>
      <c r="AF42" s="15" t="n"/>
      <c r="AG42" s="15" t="n"/>
      <c r="AH42" s="15" t="n"/>
      <c r="AI42" s="15" t="n"/>
    </row>
    <row r="43">
      <c r="A43" s="13" t="inlineStr">
        <is>
          <t>Precious stones JOS 5500</t>
        </is>
      </c>
      <c r="B43" s="14" t="n">
        <v>7.41</v>
      </c>
      <c r="C43" s="14" t="n">
        <v>40755</v>
      </c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4" t="n">
        <v>7.41</v>
      </c>
      <c r="O43" s="14" t="n">
        <v>40755</v>
      </c>
      <c r="P43" s="14" t="n">
        <v>5500</v>
      </c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4" t="n">
        <v>7.41</v>
      </c>
      <c r="AB43" s="14" t="n">
        <v>40755</v>
      </c>
      <c r="AC43" s="14" t="n">
        <v>0</v>
      </c>
      <c r="AD43" s="16" t="n">
        <v>0</v>
      </c>
      <c r="AE43" s="15" t="n"/>
      <c r="AF43" s="15" t="n"/>
      <c r="AG43" s="15" t="n"/>
      <c r="AH43" s="15" t="n"/>
      <c r="AI43" s="15" t="n"/>
    </row>
    <row r="44">
      <c r="A44" s="13" t="inlineStr">
        <is>
          <t>Precious stones JOS 5600</t>
        </is>
      </c>
      <c r="B44" s="14" t="n">
        <v>18.8</v>
      </c>
      <c r="C44" s="14" t="n">
        <v>76547</v>
      </c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4" t="n">
        <v>18.8</v>
      </c>
      <c r="O44" s="14" t="n">
        <v>76547</v>
      </c>
      <c r="P44" s="14" t="n">
        <v>4072</v>
      </c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4" t="n">
        <v>18.8</v>
      </c>
      <c r="AB44" s="14" t="n">
        <v>76547</v>
      </c>
      <c r="AC44" s="14" t="n">
        <v>-0</v>
      </c>
      <c r="AD44" s="16" t="n">
        <v>0</v>
      </c>
      <c r="AE44" s="15" t="n"/>
      <c r="AF44" s="15" t="n"/>
      <c r="AG44" s="15" t="n"/>
      <c r="AH44" s="15" t="n"/>
      <c r="AI44" s="15" t="n"/>
    </row>
    <row r="45">
      <c r="A45" s="13" t="inlineStr">
        <is>
          <t>Precious stones JOS 5800</t>
        </is>
      </c>
      <c r="B45" s="14" t="n">
        <v>2363.08</v>
      </c>
      <c r="C45" s="14" t="n">
        <v>13705864</v>
      </c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4" t="n">
        <v>2363.08</v>
      </c>
      <c r="O45" s="14" t="n">
        <v>13705864</v>
      </c>
      <c r="P45" s="14" t="n">
        <v>5800</v>
      </c>
      <c r="Q45" s="15" t="n"/>
      <c r="R45" s="15" t="n"/>
      <c r="S45" s="14" t="n">
        <v>2301.02</v>
      </c>
      <c r="T45" s="14" t="n">
        <v>13345916</v>
      </c>
      <c r="U45" s="15" t="n"/>
      <c r="V45" s="15" t="n"/>
      <c r="W45" s="14" t="n">
        <v>2301.02</v>
      </c>
      <c r="X45" s="14" t="n">
        <v>13345916</v>
      </c>
      <c r="Y45" s="15" t="n"/>
      <c r="Z45" s="15" t="n"/>
      <c r="AA45" s="14" t="n">
        <v>62.06</v>
      </c>
      <c r="AB45" s="14" t="n">
        <v>359948</v>
      </c>
      <c r="AC45" s="14" t="n">
        <v>0</v>
      </c>
      <c r="AD45" s="16" t="n">
        <v>0</v>
      </c>
      <c r="AE45" s="15" t="n"/>
      <c r="AF45" s="15" t="n"/>
      <c r="AG45" s="15" t="n"/>
      <c r="AH45" s="15" t="n"/>
      <c r="AI45" s="15" t="n"/>
    </row>
    <row r="46">
      <c r="A46" s="13" t="inlineStr">
        <is>
          <t>Precious stones JOS 8000</t>
        </is>
      </c>
      <c r="B46" s="14" t="n">
        <v>4.95</v>
      </c>
      <c r="C46" s="14" t="n">
        <v>28569</v>
      </c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4" t="n">
        <v>4.95</v>
      </c>
      <c r="O46" s="14" t="n">
        <v>28569</v>
      </c>
      <c r="P46" s="14" t="n">
        <v>5772</v>
      </c>
      <c r="Q46" s="15" t="n"/>
      <c r="R46" s="15" t="n"/>
      <c r="S46" s="15" t="n"/>
      <c r="T46" s="15" t="n"/>
      <c r="U46" s="15" t="n"/>
      <c r="V46" s="15" t="n"/>
      <c r="W46" s="15" t="n"/>
      <c r="X46" s="15" t="n"/>
      <c r="Y46" s="14" t="n">
        <v>0.53</v>
      </c>
      <c r="Z46" s="14" t="n">
        <v>4240</v>
      </c>
      <c r="AA46" s="14" t="n">
        <v>4.42</v>
      </c>
      <c r="AB46" s="14" t="n">
        <v>25510</v>
      </c>
      <c r="AC46" s="14" t="n">
        <v>1181</v>
      </c>
      <c r="AD46" s="16" t="n">
        <v>0.2786</v>
      </c>
      <c r="AE46" s="15" t="n"/>
      <c r="AF46" s="15" t="n"/>
      <c r="AG46" s="15" t="n"/>
      <c r="AH46" s="15" t="n"/>
      <c r="AI46" s="15" t="n"/>
    </row>
    <row r="47">
      <c r="A47" s="13" t="inlineStr">
        <is>
          <t>Precious stones JOS 10000</t>
        </is>
      </c>
      <c r="B47" s="14" t="n">
        <v>0.95</v>
      </c>
      <c r="C47" s="14" t="n">
        <v>6767</v>
      </c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4" t="n">
        <v>0.95</v>
      </c>
      <c r="O47" s="14" t="n">
        <v>6767</v>
      </c>
      <c r="P47" s="14" t="n">
        <v>7123</v>
      </c>
      <c r="Q47" s="15" t="n"/>
      <c r="R47" s="15" t="n"/>
      <c r="S47" s="15" t="n"/>
      <c r="T47" s="15" t="n"/>
      <c r="U47" s="15" t="n"/>
      <c r="V47" s="15" t="n"/>
      <c r="W47" s="15" t="n"/>
      <c r="X47" s="15" t="n"/>
      <c r="Y47" s="14" t="n">
        <v>0.95</v>
      </c>
      <c r="Z47" s="14" t="n">
        <v>9500</v>
      </c>
      <c r="AA47" s="14" t="n">
        <v>0</v>
      </c>
      <c r="AB47" s="14" t="n">
        <v>0</v>
      </c>
      <c r="AC47" s="14" t="n">
        <v>2733</v>
      </c>
      <c r="AD47" s="16" t="n">
        <v>0.2877</v>
      </c>
      <c r="AE47" s="15" t="n"/>
      <c r="AF47" s="15" t="n"/>
      <c r="AG47" s="15" t="n"/>
      <c r="AH47" s="15" t="n"/>
      <c r="AI47" s="15" t="n"/>
    </row>
    <row r="48">
      <c r="A48" s="13" t="inlineStr">
        <is>
          <t>Precious stones JOS 25000</t>
        </is>
      </c>
      <c r="B48" s="14" t="n">
        <v>7.63</v>
      </c>
      <c r="C48" s="14" t="n">
        <v>145384</v>
      </c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4" t="n">
        <v>7.63</v>
      </c>
      <c r="O48" s="14" t="n">
        <v>145384</v>
      </c>
      <c r="P48" s="14" t="n">
        <v>19054</v>
      </c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4" t="n">
        <v>7.63</v>
      </c>
      <c r="AB48" s="14" t="n">
        <v>145384</v>
      </c>
      <c r="AC48" s="14" t="n">
        <v>-0</v>
      </c>
      <c r="AD48" s="16" t="n">
        <v>0</v>
      </c>
      <c r="AE48" s="15" t="n"/>
      <c r="AF48" s="15" t="n"/>
      <c r="AG48" s="15" t="n"/>
      <c r="AH48" s="15" t="n"/>
      <c r="AI48" s="15" t="n"/>
    </row>
    <row r="49">
      <c r="A49" s="17" t="inlineStr">
        <is>
          <t>TOTAL - PRECIOUS STONES</t>
        </is>
      </c>
      <c r="B49" s="18" t="n">
        <v>45517.49</v>
      </c>
      <c r="C49" s="18" t="n">
        <v>30593811</v>
      </c>
      <c r="D49" s="18">
        <f>SUM(D11:D48)</f>
        <v/>
      </c>
      <c r="E49" s="18">
        <f>SUM(E11:E48)</f>
        <v/>
      </c>
      <c r="F49" s="18">
        <f>SUM(F11:F48)</f>
        <v/>
      </c>
      <c r="G49" s="18">
        <f>SUM(G11:G48)</f>
        <v/>
      </c>
      <c r="H49" s="18" t="n">
        <v>481.26</v>
      </c>
      <c r="I49" s="18" t="n">
        <v>70385</v>
      </c>
      <c r="J49" s="18">
        <f>SUM(J11:J48)</f>
        <v/>
      </c>
      <c r="K49" s="18">
        <f>SUM(K11:K48)</f>
        <v/>
      </c>
      <c r="L49" s="18" t="n">
        <v>481.26</v>
      </c>
      <c r="M49" s="18" t="n">
        <v>70385</v>
      </c>
      <c r="N49" s="18" t="n">
        <v>45998.74999999999</v>
      </c>
      <c r="O49" s="18" t="n">
        <v>30664196</v>
      </c>
      <c r="P49" s="18" t="n">
        <v>667</v>
      </c>
      <c r="Q49" s="18">
        <f>SUM(Q11:Q48)</f>
        <v/>
      </c>
      <c r="R49" s="18">
        <f>SUM(R11:R48)</f>
        <v/>
      </c>
      <c r="S49" s="18" t="n">
        <v>23757.484</v>
      </c>
      <c r="T49" s="18" t="n">
        <v>25729158</v>
      </c>
      <c r="U49" s="18">
        <f>SUM(U11:U48)</f>
        <v/>
      </c>
      <c r="V49" s="18">
        <f>SUM(V11:V48)</f>
        <v/>
      </c>
      <c r="W49" s="18" t="n">
        <v>23757.484</v>
      </c>
      <c r="X49" s="18" t="n">
        <v>25729158</v>
      </c>
      <c r="Y49" s="18" t="n">
        <v>15473.87</v>
      </c>
      <c r="Z49" s="18" t="n">
        <v>2145520</v>
      </c>
      <c r="AA49" s="18" t="n">
        <v>6767.396000000002</v>
      </c>
      <c r="AB49" s="18" t="n">
        <v>3335988</v>
      </c>
      <c r="AC49" s="18" t="n">
        <v>546470</v>
      </c>
      <c r="AD49" s="19" t="n">
        <v>0.2547</v>
      </c>
      <c r="AE49" s="18">
        <f>SUM(AE11:AE48)</f>
        <v/>
      </c>
      <c r="AF49" s="18">
        <f>SUM(AF11:AF48)</f>
        <v/>
      </c>
      <c r="AG49" s="18">
        <f>SUM(AG11:AG48)</f>
        <v/>
      </c>
      <c r="AH49" s="18">
        <f>SUM(AH11:AH48)</f>
        <v/>
      </c>
      <c r="AI49" s="20" t="n"/>
    </row>
    <row r="50">
      <c r="A50" s="11" t="inlineStr">
        <is>
          <t>Semi Precious</t>
        </is>
      </c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</row>
    <row r="51">
      <c r="A51" s="13" t="inlineStr">
        <is>
          <t>Semi precious JSP 50</t>
        </is>
      </c>
      <c r="B51" s="14" t="n">
        <v>1594.78</v>
      </c>
      <c r="C51" s="14" t="n">
        <v>38599</v>
      </c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4" t="n">
        <v>1594.78</v>
      </c>
      <c r="O51" s="14" t="n">
        <v>38599</v>
      </c>
      <c r="P51" s="14" t="n">
        <v>24</v>
      </c>
      <c r="Q51" s="15" t="n"/>
      <c r="R51" s="15" t="n"/>
      <c r="S51" s="14" t="n">
        <v>689.1</v>
      </c>
      <c r="T51" s="14" t="n">
        <v>16678</v>
      </c>
      <c r="U51" s="15" t="n"/>
      <c r="V51" s="15" t="n"/>
      <c r="W51" s="14" t="n">
        <v>689.1</v>
      </c>
      <c r="X51" s="14" t="n">
        <v>16678</v>
      </c>
      <c r="Y51" s="15" t="n"/>
      <c r="Z51" s="15" t="n"/>
      <c r="AA51" s="14" t="n">
        <v>905.6799999999999</v>
      </c>
      <c r="AB51" s="14" t="n">
        <v>21920</v>
      </c>
      <c r="AC51" s="14" t="n">
        <v>-0</v>
      </c>
      <c r="AD51" s="16" t="n">
        <v>0</v>
      </c>
      <c r="AE51" s="15" t="n"/>
      <c r="AF51" s="15" t="n"/>
      <c r="AG51" s="15" t="n"/>
      <c r="AH51" s="15" t="n"/>
      <c r="AI51" s="15" t="n"/>
    </row>
    <row r="52">
      <c r="A52" s="13" t="inlineStr">
        <is>
          <t>Semi precious JSP 100</t>
        </is>
      </c>
      <c r="B52" s="14" t="n">
        <v>4316.1</v>
      </c>
      <c r="C52" s="14" t="n">
        <v>360796</v>
      </c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4" t="n">
        <v>4316.1</v>
      </c>
      <c r="O52" s="14" t="n">
        <v>360796</v>
      </c>
      <c r="P52" s="14" t="n">
        <v>84</v>
      </c>
      <c r="Q52" s="15" t="n"/>
      <c r="R52" s="15" t="n"/>
      <c r="S52" s="14" t="n">
        <v>2894.74</v>
      </c>
      <c r="T52" s="14" t="n">
        <v>241980</v>
      </c>
      <c r="U52" s="15" t="n"/>
      <c r="V52" s="15" t="n"/>
      <c r="W52" s="14" t="n">
        <v>2894.74</v>
      </c>
      <c r="X52" s="14" t="n">
        <v>241980</v>
      </c>
      <c r="Y52" s="14" t="n">
        <v>27.36</v>
      </c>
      <c r="Z52" s="14" t="n">
        <v>2736</v>
      </c>
      <c r="AA52" s="14" t="n">
        <v>1394</v>
      </c>
      <c r="AB52" s="14" t="n">
        <v>116529</v>
      </c>
      <c r="AC52" s="14" t="n">
        <v>449</v>
      </c>
      <c r="AD52" s="16" t="n">
        <v>0.1641</v>
      </c>
      <c r="AE52" s="15" t="n"/>
      <c r="AF52" s="15" t="n"/>
      <c r="AG52" s="15" t="n"/>
      <c r="AH52" s="15" t="n"/>
      <c r="AI52" s="15" t="n"/>
    </row>
    <row r="53">
      <c r="A53" s="13" t="inlineStr">
        <is>
          <t>Semi precious JSP 150</t>
        </is>
      </c>
      <c r="B53" s="14" t="n">
        <v>316.13</v>
      </c>
      <c r="C53" s="14" t="n">
        <v>36263</v>
      </c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4" t="n">
        <v>316.13</v>
      </c>
      <c r="O53" s="14" t="n">
        <v>36263</v>
      </c>
      <c r="P53" s="14" t="n">
        <v>115</v>
      </c>
      <c r="Q53" s="15" t="n"/>
      <c r="R53" s="15" t="n"/>
      <c r="S53" s="14" t="n">
        <v>172.4</v>
      </c>
      <c r="T53" s="14" t="n">
        <v>19776</v>
      </c>
      <c r="U53" s="15" t="n"/>
      <c r="V53" s="15" t="n"/>
      <c r="W53" s="14" t="n">
        <v>172.4</v>
      </c>
      <c r="X53" s="14" t="n">
        <v>19776</v>
      </c>
      <c r="Y53" s="15" t="n"/>
      <c r="Z53" s="15" t="n"/>
      <c r="AA53" s="14" t="n">
        <v>143.73</v>
      </c>
      <c r="AB53" s="14" t="n">
        <v>16487</v>
      </c>
      <c r="AC53" s="14" t="n">
        <v>-0</v>
      </c>
      <c r="AD53" s="16" t="n">
        <v>0</v>
      </c>
      <c r="AE53" s="15" t="n"/>
      <c r="AF53" s="15" t="n"/>
      <c r="AG53" s="15" t="n"/>
      <c r="AH53" s="15" t="n"/>
      <c r="AI53" s="15" t="n"/>
    </row>
    <row r="54">
      <c r="A54" s="13" t="inlineStr">
        <is>
          <t>Semi precious JSP 250</t>
        </is>
      </c>
      <c r="B54" s="14" t="n">
        <v>929.6799999999999</v>
      </c>
      <c r="C54" s="14" t="n">
        <v>169949</v>
      </c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4" t="n">
        <v>929.6799999999999</v>
      </c>
      <c r="O54" s="14" t="n">
        <v>169949</v>
      </c>
      <c r="P54" s="14" t="n">
        <v>183</v>
      </c>
      <c r="Q54" s="15" t="n"/>
      <c r="R54" s="15" t="n"/>
      <c r="S54" s="14" t="n">
        <v>801</v>
      </c>
      <c r="T54" s="14" t="n">
        <v>146426</v>
      </c>
      <c r="U54" s="15" t="n"/>
      <c r="V54" s="15" t="n"/>
      <c r="W54" s="14" t="n">
        <v>801</v>
      </c>
      <c r="X54" s="14" t="n">
        <v>146426</v>
      </c>
      <c r="Y54" s="15" t="n"/>
      <c r="Z54" s="15" t="n"/>
      <c r="AA54" s="14" t="n">
        <v>128.68</v>
      </c>
      <c r="AB54" s="14" t="n">
        <v>23523</v>
      </c>
      <c r="AC54" s="14" t="n">
        <v>0</v>
      </c>
      <c r="AD54" s="16" t="n">
        <v>0</v>
      </c>
      <c r="AE54" s="15" t="n"/>
      <c r="AF54" s="15" t="n"/>
      <c r="AG54" s="15" t="n"/>
      <c r="AH54" s="15" t="n"/>
      <c r="AI54" s="15" t="n"/>
    </row>
    <row r="55">
      <c r="A55" s="13" t="inlineStr">
        <is>
          <t>Semi precious JSP 300</t>
        </is>
      </c>
      <c r="B55" s="14" t="n">
        <v>872.9400000000001</v>
      </c>
      <c r="C55" s="14" t="n">
        <v>244258</v>
      </c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4" t="n">
        <v>872.9400000000001</v>
      </c>
      <c r="O55" s="14" t="n">
        <v>244258</v>
      </c>
      <c r="P55" s="14" t="n">
        <v>280</v>
      </c>
      <c r="Q55" s="15" t="n"/>
      <c r="R55" s="15" t="n"/>
      <c r="S55" s="14" t="n">
        <v>802.63</v>
      </c>
      <c r="T55" s="14" t="n">
        <v>224585</v>
      </c>
      <c r="U55" s="15" t="n"/>
      <c r="V55" s="15" t="n"/>
      <c r="W55" s="14" t="n">
        <v>802.63</v>
      </c>
      <c r="X55" s="14" t="n">
        <v>224585</v>
      </c>
      <c r="Y55" s="15" t="n"/>
      <c r="Z55" s="15" t="n"/>
      <c r="AA55" s="14" t="n">
        <v>70.31</v>
      </c>
      <c r="AB55" s="14" t="n">
        <v>19673</v>
      </c>
      <c r="AC55" s="14" t="n">
        <v>0</v>
      </c>
      <c r="AD55" s="16" t="n">
        <v>0</v>
      </c>
      <c r="AE55" s="15" t="n"/>
      <c r="AF55" s="15" t="n"/>
      <c r="AG55" s="15" t="n"/>
      <c r="AH55" s="15" t="n"/>
      <c r="AI55" s="15" t="n"/>
    </row>
    <row r="56">
      <c r="A56" s="13" t="inlineStr">
        <is>
          <t>Semi precious JSP 350</t>
        </is>
      </c>
      <c r="B56" s="14" t="n">
        <v>523.08</v>
      </c>
      <c r="C56" s="14" t="n">
        <v>164770</v>
      </c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4" t="n">
        <v>523.08</v>
      </c>
      <c r="O56" s="14" t="n">
        <v>164770</v>
      </c>
      <c r="P56" s="14" t="n">
        <v>315</v>
      </c>
      <c r="Q56" s="15" t="n"/>
      <c r="R56" s="15" t="n"/>
      <c r="S56" s="14" t="n">
        <v>317.13</v>
      </c>
      <c r="T56" s="14" t="n">
        <v>99896</v>
      </c>
      <c r="U56" s="15" t="n"/>
      <c r="V56" s="15" t="n"/>
      <c r="W56" s="14" t="n">
        <v>317.13</v>
      </c>
      <c r="X56" s="14" t="n">
        <v>99896</v>
      </c>
      <c r="Y56" s="15" t="n"/>
      <c r="Z56" s="15" t="n"/>
      <c r="AA56" s="14" t="n">
        <v>205.95</v>
      </c>
      <c r="AB56" s="14" t="n">
        <v>64874</v>
      </c>
      <c r="AC56" s="14" t="n">
        <v>-0</v>
      </c>
      <c r="AD56" s="16" t="n">
        <v>0</v>
      </c>
      <c r="AE56" s="15" t="n"/>
      <c r="AF56" s="15" t="n"/>
      <c r="AG56" s="15" t="n"/>
      <c r="AH56" s="15" t="n"/>
      <c r="AI56" s="15" t="n"/>
    </row>
    <row r="57">
      <c r="A57" s="13" t="inlineStr">
        <is>
          <t>Semi precious JSP 450</t>
        </is>
      </c>
      <c r="B57" s="14" t="n">
        <v>429.72</v>
      </c>
      <c r="C57" s="14" t="n">
        <v>196674</v>
      </c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4" t="n">
        <v>429.72</v>
      </c>
      <c r="O57" s="14" t="n">
        <v>196674</v>
      </c>
      <c r="P57" s="14" t="n">
        <v>458</v>
      </c>
      <c r="Q57" s="15" t="n"/>
      <c r="R57" s="15" t="n"/>
      <c r="S57" s="14" t="n">
        <v>400.16</v>
      </c>
      <c r="T57" s="14" t="n">
        <v>183145</v>
      </c>
      <c r="U57" s="15" t="n"/>
      <c r="V57" s="15" t="n"/>
      <c r="W57" s="14" t="n">
        <v>400.16</v>
      </c>
      <c r="X57" s="14" t="n">
        <v>183145</v>
      </c>
      <c r="Y57" s="15" t="n"/>
      <c r="Z57" s="15" t="n"/>
      <c r="AA57" s="14" t="n">
        <v>29.56</v>
      </c>
      <c r="AB57" s="14" t="n">
        <v>13529</v>
      </c>
      <c r="AC57" s="14" t="n">
        <v>-0</v>
      </c>
      <c r="AD57" s="16" t="n">
        <v>0</v>
      </c>
      <c r="AE57" s="15" t="n"/>
      <c r="AF57" s="15" t="n"/>
      <c r="AG57" s="15" t="n"/>
      <c r="AH57" s="15" t="n"/>
      <c r="AI57" s="15" t="n"/>
    </row>
    <row r="58">
      <c r="A58" s="13" t="inlineStr">
        <is>
          <t>Semi precious JSP 550</t>
        </is>
      </c>
      <c r="B58" s="14" t="n">
        <v>1058.69</v>
      </c>
      <c r="C58" s="14" t="n">
        <v>550518</v>
      </c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4" t="n">
        <v>1058.69</v>
      </c>
      <c r="O58" s="14" t="n">
        <v>550518</v>
      </c>
      <c r="P58" s="14" t="n">
        <v>520</v>
      </c>
      <c r="Q58" s="15" t="n"/>
      <c r="R58" s="15" t="n"/>
      <c r="S58" s="14" t="n">
        <v>1001.61</v>
      </c>
      <c r="T58" s="14" t="n">
        <v>520836</v>
      </c>
      <c r="U58" s="15" t="n"/>
      <c r="V58" s="15" t="n"/>
      <c r="W58" s="14" t="n">
        <v>1001.61</v>
      </c>
      <c r="X58" s="14" t="n">
        <v>520836</v>
      </c>
      <c r="Y58" s="15" t="n"/>
      <c r="Z58" s="15" t="n"/>
      <c r="AA58" s="14" t="n">
        <v>57.08</v>
      </c>
      <c r="AB58" s="14" t="n">
        <v>29682</v>
      </c>
      <c r="AC58" s="14" t="n">
        <v>-0</v>
      </c>
      <c r="AD58" s="16" t="n">
        <v>0</v>
      </c>
      <c r="AE58" s="15" t="n"/>
      <c r="AF58" s="15" t="n"/>
      <c r="AG58" s="15" t="n"/>
      <c r="AH58" s="15" t="n"/>
      <c r="AI58" s="15" t="n"/>
    </row>
    <row r="59">
      <c r="A59" s="13" t="inlineStr">
        <is>
          <t>Semi precious JSP 600</t>
        </is>
      </c>
      <c r="B59" s="14" t="n">
        <v>12.28</v>
      </c>
      <c r="C59" s="14" t="n">
        <v>5071</v>
      </c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4" t="n">
        <v>12.28</v>
      </c>
      <c r="O59" s="14" t="n">
        <v>5071</v>
      </c>
      <c r="P59" s="14" t="n">
        <v>413</v>
      </c>
      <c r="Q59" s="15" t="n"/>
      <c r="R59" s="15" t="n"/>
      <c r="S59" s="15" t="n"/>
      <c r="T59" s="15" t="n"/>
      <c r="U59" s="15" t="n"/>
      <c r="V59" s="15" t="n"/>
      <c r="W59" s="15" t="n"/>
      <c r="X59" s="15" t="n"/>
      <c r="Y59" s="15" t="n"/>
      <c r="Z59" s="15" t="n"/>
      <c r="AA59" s="14" t="n">
        <v>12.28</v>
      </c>
      <c r="AB59" s="14" t="n">
        <v>5071</v>
      </c>
      <c r="AC59" s="14" t="n">
        <v>0</v>
      </c>
      <c r="AD59" s="16" t="n">
        <v>0</v>
      </c>
      <c r="AE59" s="15" t="n"/>
      <c r="AF59" s="15" t="n"/>
      <c r="AG59" s="15" t="n"/>
      <c r="AH59" s="15" t="n"/>
      <c r="AI59" s="15" t="n"/>
    </row>
    <row r="60">
      <c r="A60" s="13" t="inlineStr">
        <is>
          <t>Semi precious JSP 650</t>
        </is>
      </c>
      <c r="B60" s="14" t="n">
        <v>3.1</v>
      </c>
      <c r="C60" s="14" t="n">
        <v>1439</v>
      </c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4" t="n">
        <v>3.1</v>
      </c>
      <c r="O60" s="14" t="n">
        <v>1439</v>
      </c>
      <c r="P60" s="14" t="n">
        <v>464</v>
      </c>
      <c r="Q60" s="15" t="n"/>
      <c r="R60" s="15" t="n"/>
      <c r="S60" s="15" t="n"/>
      <c r="T60" s="15" t="n"/>
      <c r="U60" s="15" t="n"/>
      <c r="V60" s="15" t="n"/>
      <c r="W60" s="15" t="n"/>
      <c r="X60" s="15" t="n"/>
      <c r="Y60" s="15" t="n"/>
      <c r="Z60" s="15" t="n"/>
      <c r="AA60" s="14" t="n">
        <v>3.1</v>
      </c>
      <c r="AB60" s="14" t="n">
        <v>1439</v>
      </c>
      <c r="AC60" s="14" t="n">
        <v>-0</v>
      </c>
      <c r="AD60" s="16" t="n">
        <v>0</v>
      </c>
      <c r="AE60" s="15" t="n"/>
      <c r="AF60" s="15" t="n"/>
      <c r="AG60" s="15" t="n"/>
      <c r="AH60" s="15" t="n"/>
      <c r="AI60" s="15" t="n"/>
    </row>
    <row r="61">
      <c r="A61" s="13" t="inlineStr">
        <is>
          <t>Semi precious JSP 700</t>
        </is>
      </c>
      <c r="B61" s="14" t="n">
        <v>624.55</v>
      </c>
      <c r="C61" s="14" t="n">
        <v>323312</v>
      </c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4" t="n">
        <v>624.55</v>
      </c>
      <c r="O61" s="14" t="n">
        <v>323312</v>
      </c>
      <c r="P61" s="14" t="n">
        <v>518</v>
      </c>
      <c r="Q61" s="15" t="n"/>
      <c r="R61" s="15" t="n"/>
      <c r="S61" s="14" t="n">
        <v>600.22</v>
      </c>
      <c r="T61" s="14" t="n">
        <v>310717</v>
      </c>
      <c r="U61" s="15" t="n"/>
      <c r="V61" s="15" t="n"/>
      <c r="W61" s="14" t="n">
        <v>600.22</v>
      </c>
      <c r="X61" s="14" t="n">
        <v>310717</v>
      </c>
      <c r="Y61" s="15" t="n"/>
      <c r="Z61" s="15" t="n"/>
      <c r="AA61" s="14" t="n">
        <v>24.33</v>
      </c>
      <c r="AB61" s="14" t="n">
        <v>12595</v>
      </c>
      <c r="AC61" s="14" t="n">
        <v>-0</v>
      </c>
      <c r="AD61" s="16" t="n">
        <v>0</v>
      </c>
      <c r="AE61" s="15" t="n"/>
      <c r="AF61" s="15" t="n"/>
      <c r="AG61" s="15" t="n"/>
      <c r="AH61" s="15" t="n"/>
      <c r="AI61" s="15" t="n"/>
    </row>
    <row r="62">
      <c r="A62" s="13" t="inlineStr">
        <is>
          <t>Semi precious JSP 800</t>
        </is>
      </c>
      <c r="B62" s="14" t="n">
        <v>19.28</v>
      </c>
      <c r="C62" s="14" t="n">
        <v>11197</v>
      </c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4" t="n">
        <v>19.28</v>
      </c>
      <c r="O62" s="14" t="n">
        <v>11197</v>
      </c>
      <c r="P62" s="14" t="n">
        <v>581</v>
      </c>
      <c r="Q62" s="15" t="n"/>
      <c r="R62" s="15" t="n"/>
      <c r="S62" s="15" t="n"/>
      <c r="T62" s="15" t="n"/>
      <c r="U62" s="15" t="n"/>
      <c r="V62" s="15" t="n"/>
      <c r="W62" s="15" t="n"/>
      <c r="X62" s="15" t="n"/>
      <c r="Y62" s="15" t="n"/>
      <c r="Z62" s="15" t="n"/>
      <c r="AA62" s="14" t="n">
        <v>19.28</v>
      </c>
      <c r="AB62" s="14" t="n">
        <v>11197</v>
      </c>
      <c r="AC62" s="14" t="n">
        <v>0</v>
      </c>
      <c r="AD62" s="16" t="n">
        <v>0</v>
      </c>
      <c r="AE62" s="15" t="n"/>
      <c r="AF62" s="15" t="n"/>
      <c r="AG62" s="15" t="n"/>
      <c r="AH62" s="15" t="n"/>
      <c r="AI62" s="15" t="n"/>
    </row>
    <row r="63">
      <c r="A63" s="13" t="inlineStr">
        <is>
          <t>Semi Precious JSP 900</t>
        </is>
      </c>
      <c r="B63" s="14" t="n">
        <v>0</v>
      </c>
      <c r="C63" s="15" t="n"/>
      <c r="D63" s="15" t="n"/>
      <c r="E63" s="15" t="n"/>
      <c r="F63" s="15" t="n"/>
      <c r="G63" s="15" t="n"/>
      <c r="H63" s="14" t="n">
        <v>758.66</v>
      </c>
      <c r="I63" s="14" t="n">
        <v>20928</v>
      </c>
      <c r="J63" s="15" t="n"/>
      <c r="K63" s="15" t="n"/>
      <c r="L63" s="14" t="n">
        <v>758.66</v>
      </c>
      <c r="M63" s="14" t="n">
        <v>20928</v>
      </c>
      <c r="N63" s="14" t="n">
        <v>758.66</v>
      </c>
      <c r="O63" s="14" t="n">
        <v>20928</v>
      </c>
      <c r="P63" s="14" t="n">
        <v>28</v>
      </c>
      <c r="Q63" s="15" t="n"/>
      <c r="R63" s="15" t="n"/>
      <c r="S63" s="15" t="n"/>
      <c r="T63" s="15" t="n"/>
      <c r="U63" s="15" t="n"/>
      <c r="V63" s="15" t="n"/>
      <c r="W63" s="15" t="n"/>
      <c r="X63" s="15" t="n"/>
      <c r="Y63" s="15" t="n"/>
      <c r="Z63" s="15" t="n"/>
      <c r="AA63" s="14" t="n">
        <v>758.66</v>
      </c>
      <c r="AB63" s="14" t="n">
        <v>20928</v>
      </c>
      <c r="AC63" s="14" t="n">
        <v>0</v>
      </c>
      <c r="AD63" s="16" t="n">
        <v>0</v>
      </c>
      <c r="AE63" s="15" t="n"/>
      <c r="AF63" s="15" t="n"/>
      <c r="AG63" s="15" t="n"/>
      <c r="AH63" s="15" t="n"/>
      <c r="AI63" s="15" t="n"/>
    </row>
    <row r="64">
      <c r="A64" s="13" t="inlineStr">
        <is>
          <t>Semi precious JSP 1000</t>
        </is>
      </c>
      <c r="B64" s="14" t="n">
        <v>432.54</v>
      </c>
      <c r="C64" s="14" t="n">
        <v>307444</v>
      </c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4" t="n">
        <v>432.54</v>
      </c>
      <c r="O64" s="14" t="n">
        <v>307444</v>
      </c>
      <c r="P64" s="14" t="n">
        <v>711</v>
      </c>
      <c r="Q64" s="15" t="n"/>
      <c r="R64" s="15" t="n"/>
      <c r="S64" s="14" t="n">
        <v>401.21</v>
      </c>
      <c r="T64" s="14" t="n">
        <v>285175</v>
      </c>
      <c r="U64" s="15" t="n"/>
      <c r="V64" s="15" t="n"/>
      <c r="W64" s="14" t="n">
        <v>401.21</v>
      </c>
      <c r="X64" s="14" t="n">
        <v>285175</v>
      </c>
      <c r="Y64" s="15" t="n"/>
      <c r="Z64" s="15" t="n"/>
      <c r="AA64" s="14" t="n">
        <v>31.33</v>
      </c>
      <c r="AB64" s="14" t="n">
        <v>22269</v>
      </c>
      <c r="AC64" s="14" t="n">
        <v>-0</v>
      </c>
      <c r="AD64" s="16" t="n">
        <v>0</v>
      </c>
      <c r="AE64" s="15" t="n"/>
      <c r="AF64" s="15" t="n"/>
      <c r="AG64" s="15" t="n"/>
      <c r="AH64" s="15" t="n"/>
      <c r="AI64" s="15" t="n"/>
    </row>
    <row r="65">
      <c r="A65" s="13" t="inlineStr">
        <is>
          <t>Semi precious JSP 1200</t>
        </is>
      </c>
      <c r="B65" s="14" t="n">
        <v>12.3</v>
      </c>
      <c r="C65" s="14" t="n">
        <v>10297</v>
      </c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4" t="n">
        <v>12.3</v>
      </c>
      <c r="O65" s="14" t="n">
        <v>10297</v>
      </c>
      <c r="P65" s="14" t="n">
        <v>837</v>
      </c>
      <c r="Q65" s="15" t="n"/>
      <c r="R65" s="15" t="n"/>
      <c r="S65" s="15" t="n"/>
      <c r="T65" s="15" t="n"/>
      <c r="U65" s="15" t="n"/>
      <c r="V65" s="15" t="n"/>
      <c r="W65" s="15" t="n"/>
      <c r="X65" s="15" t="n"/>
      <c r="Y65" s="15" t="n"/>
      <c r="Z65" s="15" t="n"/>
      <c r="AA65" s="14" t="n">
        <v>12.3</v>
      </c>
      <c r="AB65" s="14" t="n">
        <v>10297</v>
      </c>
      <c r="AC65" s="14" t="n">
        <v>0</v>
      </c>
      <c r="AD65" s="16" t="n">
        <v>0</v>
      </c>
      <c r="AE65" s="15" t="n"/>
      <c r="AF65" s="15" t="n"/>
      <c r="AG65" s="15" t="n"/>
      <c r="AH65" s="15" t="n"/>
      <c r="AI65" s="15" t="n"/>
    </row>
    <row r="66">
      <c r="A66" s="13" t="inlineStr">
        <is>
          <t>Semi precious JSP 1300</t>
        </is>
      </c>
      <c r="B66" s="14" t="n">
        <v>25.63</v>
      </c>
      <c r="C66" s="14" t="n">
        <v>23679</v>
      </c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4" t="n">
        <v>25.63</v>
      </c>
      <c r="O66" s="14" t="n">
        <v>23679</v>
      </c>
      <c r="P66" s="14" t="n">
        <v>924</v>
      </c>
      <c r="Q66" s="15" t="n"/>
      <c r="R66" s="15" t="n"/>
      <c r="S66" s="15" t="n"/>
      <c r="T66" s="15" t="n"/>
      <c r="U66" s="15" t="n"/>
      <c r="V66" s="15" t="n"/>
      <c r="W66" s="15" t="n"/>
      <c r="X66" s="15" t="n"/>
      <c r="Y66" s="15" t="n"/>
      <c r="Z66" s="15" t="n"/>
      <c r="AA66" s="14" t="n">
        <v>25.63</v>
      </c>
      <c r="AB66" s="14" t="n">
        <v>23679</v>
      </c>
      <c r="AC66" s="14" t="n">
        <v>0</v>
      </c>
      <c r="AD66" s="16" t="n">
        <v>0</v>
      </c>
      <c r="AE66" s="15" t="n"/>
      <c r="AF66" s="15" t="n"/>
      <c r="AG66" s="15" t="n"/>
      <c r="AH66" s="15" t="n"/>
      <c r="AI66" s="15" t="n"/>
    </row>
    <row r="67">
      <c r="A67" s="17" t="inlineStr">
        <is>
          <t>TOTAL - SEMI PRECIOUS</t>
        </is>
      </c>
      <c r="B67" s="18" t="n">
        <v>11170.8</v>
      </c>
      <c r="C67" s="18" t="n">
        <v>2444266</v>
      </c>
      <c r="D67" s="18">
        <f>SUM(D51:D66)</f>
        <v/>
      </c>
      <c r="E67" s="18">
        <f>SUM(E51:E66)</f>
        <v/>
      </c>
      <c r="F67" s="18">
        <f>SUM(F51:F66)</f>
        <v/>
      </c>
      <c r="G67" s="18">
        <f>SUM(G51:G66)</f>
        <v/>
      </c>
      <c r="H67" s="18" t="n">
        <v>758.66</v>
      </c>
      <c r="I67" s="18" t="n">
        <v>20928</v>
      </c>
      <c r="J67" s="18">
        <f>SUM(J51:J66)</f>
        <v/>
      </c>
      <c r="K67" s="18">
        <f>SUM(K51:K66)</f>
        <v/>
      </c>
      <c r="L67" s="18" t="n">
        <v>758.66</v>
      </c>
      <c r="M67" s="18" t="n">
        <v>20928</v>
      </c>
      <c r="N67" s="18" t="n">
        <v>11929.46</v>
      </c>
      <c r="O67" s="18" t="n">
        <v>2465194</v>
      </c>
      <c r="P67" s="18" t="n">
        <v>207</v>
      </c>
      <c r="Q67" s="18">
        <f>SUM(Q51:Q66)</f>
        <v/>
      </c>
      <c r="R67" s="18">
        <f>SUM(R51:R66)</f>
        <v/>
      </c>
      <c r="S67" s="18" t="n">
        <v>8080.2</v>
      </c>
      <c r="T67" s="18" t="n">
        <v>2049214</v>
      </c>
      <c r="U67" s="18">
        <f>SUM(U51:U66)</f>
        <v/>
      </c>
      <c r="V67" s="18">
        <f>SUM(V51:V66)</f>
        <v/>
      </c>
      <c r="W67" s="18" t="n">
        <v>8080.2</v>
      </c>
      <c r="X67" s="18" t="n">
        <v>2049214</v>
      </c>
      <c r="Y67" s="18" t="n">
        <v>27.36</v>
      </c>
      <c r="Z67" s="18" t="n">
        <v>2736</v>
      </c>
      <c r="AA67" s="18" t="n">
        <v>3821.9</v>
      </c>
      <c r="AB67" s="18" t="n">
        <v>413692</v>
      </c>
      <c r="AC67" s="18" t="n">
        <v>449</v>
      </c>
      <c r="AD67" s="19" t="n">
        <v>0.1641</v>
      </c>
      <c r="AE67" s="18">
        <f>SUM(AE51:AE66)</f>
        <v/>
      </c>
      <c r="AF67" s="18">
        <f>SUM(AF51:AF66)</f>
        <v/>
      </c>
      <c r="AG67" s="18">
        <f>SUM(AG51:AG66)</f>
        <v/>
      </c>
      <c r="AH67" s="18">
        <f>SUM(AH51:AH66)</f>
        <v/>
      </c>
      <c r="AI67" s="20" t="n"/>
    </row>
    <row r="68">
      <c r="A68" s="11" t="inlineStr">
        <is>
          <t>Synthetic Stones</t>
        </is>
      </c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  <c r="U68" s="12" t="n"/>
      <c r="V68" s="12" t="n"/>
      <c r="W68" s="12" t="n"/>
      <c r="X68" s="12" t="n"/>
      <c r="Y68" s="12" t="n"/>
      <c r="Z68" s="12" t="n"/>
      <c r="AA68" s="12" t="n"/>
      <c r="AB68" s="12" t="n"/>
      <c r="AC68" s="12" t="n"/>
      <c r="AD68" s="12" t="n"/>
      <c r="AE68" s="12" t="n"/>
      <c r="AF68" s="12" t="n"/>
      <c r="AG68" s="12" t="n"/>
      <c r="AH68" s="12" t="n"/>
      <c r="AI68" s="12" t="n"/>
    </row>
    <row r="69">
      <c r="A69" s="13" t="inlineStr">
        <is>
          <t>Synthetic JSY 50</t>
        </is>
      </c>
      <c r="B69" s="14" t="n">
        <v>539.9349999999999</v>
      </c>
      <c r="C69" s="14" t="n">
        <v>8099</v>
      </c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4" t="n">
        <v>539.9349999999999</v>
      </c>
      <c r="O69" s="14" t="n">
        <v>8099</v>
      </c>
      <c r="P69" s="14" t="n">
        <v>15</v>
      </c>
      <c r="Q69" s="15" t="n"/>
      <c r="R69" s="15" t="n"/>
      <c r="S69" s="14" t="n">
        <v>401.22</v>
      </c>
      <c r="T69" s="14" t="n">
        <v>6018</v>
      </c>
      <c r="U69" s="15" t="n"/>
      <c r="V69" s="15" t="n"/>
      <c r="W69" s="14" t="n">
        <v>401.22</v>
      </c>
      <c r="X69" s="14" t="n">
        <v>6018</v>
      </c>
      <c r="Y69" s="15" t="n"/>
      <c r="Z69" s="15" t="n"/>
      <c r="AA69" s="14" t="n">
        <v>138.715</v>
      </c>
      <c r="AB69" s="14" t="n">
        <v>2081</v>
      </c>
      <c r="AC69" s="14" t="n">
        <v>0</v>
      </c>
      <c r="AD69" s="16" t="n">
        <v>0</v>
      </c>
      <c r="AE69" s="15" t="n"/>
      <c r="AF69" s="15" t="n"/>
      <c r="AG69" s="15" t="n"/>
      <c r="AH69" s="15" t="n"/>
      <c r="AI69" s="15" t="n"/>
    </row>
    <row r="70">
      <c r="A70" s="13" t="inlineStr">
        <is>
          <t>Synthetic JSY 100</t>
        </is>
      </c>
      <c r="B70" s="14" t="n">
        <v>1.5</v>
      </c>
      <c r="C70" s="14" t="n">
        <v>120</v>
      </c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4" t="n">
        <v>1.5</v>
      </c>
      <c r="O70" s="14" t="n">
        <v>120</v>
      </c>
      <c r="P70" s="14" t="n">
        <v>80</v>
      </c>
      <c r="Q70" s="15" t="n"/>
      <c r="R70" s="15" t="n"/>
      <c r="S70" s="15" t="n"/>
      <c r="T70" s="15" t="n"/>
      <c r="U70" s="15" t="n"/>
      <c r="V70" s="15" t="n"/>
      <c r="W70" s="15" t="n"/>
      <c r="X70" s="15" t="n"/>
      <c r="Y70" s="14" t="n">
        <v>1.5</v>
      </c>
      <c r="Z70" s="14" t="n">
        <v>150</v>
      </c>
      <c r="AA70" s="14" t="n">
        <v>0</v>
      </c>
      <c r="AB70" s="14" t="n">
        <v>0</v>
      </c>
      <c r="AC70" s="14" t="n">
        <v>30</v>
      </c>
      <c r="AD70" s="16" t="n">
        <v>0.2</v>
      </c>
      <c r="AE70" s="15" t="n"/>
      <c r="AF70" s="15" t="n"/>
      <c r="AG70" s="15" t="n"/>
      <c r="AH70" s="15" t="n"/>
      <c r="AI70" s="15" t="n"/>
    </row>
    <row r="71">
      <c r="A71" s="13" t="inlineStr">
        <is>
          <t>Synthetic JSY 150</t>
        </is>
      </c>
      <c r="B71" s="14" t="n">
        <v>393.89</v>
      </c>
      <c r="C71" s="14" t="n">
        <v>31500</v>
      </c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4" t="n">
        <v>393.89</v>
      </c>
      <c r="O71" s="14" t="n">
        <v>31500</v>
      </c>
      <c r="P71" s="14" t="n">
        <v>80</v>
      </c>
      <c r="Q71" s="15" t="n"/>
      <c r="R71" s="15" t="n"/>
      <c r="S71" s="14" t="n">
        <v>101.29</v>
      </c>
      <c r="T71" s="14" t="n">
        <v>8100</v>
      </c>
      <c r="U71" s="15" t="n"/>
      <c r="V71" s="15" t="n"/>
      <c r="W71" s="14" t="n">
        <v>101.29</v>
      </c>
      <c r="X71" s="14" t="n">
        <v>8100</v>
      </c>
      <c r="Y71" s="14" t="n">
        <v>97.40000000000001</v>
      </c>
      <c r="Z71" s="14" t="n">
        <v>14610</v>
      </c>
      <c r="AA71" s="14" t="n">
        <v>195.2</v>
      </c>
      <c r="AB71" s="14" t="n">
        <v>15610</v>
      </c>
      <c r="AC71" s="14" t="n">
        <v>6821</v>
      </c>
      <c r="AD71" s="16" t="n">
        <v>0.4669</v>
      </c>
      <c r="AE71" s="15" t="n"/>
      <c r="AF71" s="15" t="n"/>
      <c r="AG71" s="15" t="n"/>
      <c r="AH71" s="15" t="n"/>
      <c r="AI71" s="15" t="n"/>
    </row>
    <row r="72">
      <c r="A72" s="13" t="inlineStr">
        <is>
          <t>Sythetic JSY 300</t>
        </is>
      </c>
      <c r="B72" s="14" t="n">
        <v>282.04</v>
      </c>
      <c r="C72" s="14" t="n">
        <v>55536</v>
      </c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4" t="n">
        <v>282.04</v>
      </c>
      <c r="O72" s="14" t="n">
        <v>55536</v>
      </c>
      <c r="P72" s="14" t="n">
        <v>197</v>
      </c>
      <c r="Q72" s="15" t="n"/>
      <c r="R72" s="15" t="n"/>
      <c r="S72" s="14" t="n">
        <v>251.7</v>
      </c>
      <c r="T72" s="14" t="n">
        <v>49562</v>
      </c>
      <c r="U72" s="15" t="n"/>
      <c r="V72" s="15" t="n"/>
      <c r="W72" s="14" t="n">
        <v>251.7</v>
      </c>
      <c r="X72" s="14" t="n">
        <v>49562</v>
      </c>
      <c r="Y72" s="14" t="n">
        <v>30.34</v>
      </c>
      <c r="Z72" s="14" t="n">
        <v>9102</v>
      </c>
      <c r="AA72" s="14" t="n">
        <v>0</v>
      </c>
      <c r="AB72" s="14" t="n">
        <v>0</v>
      </c>
      <c r="AC72" s="14" t="n">
        <v>3128</v>
      </c>
      <c r="AD72" s="16" t="n">
        <v>0.3436</v>
      </c>
      <c r="AE72" s="15" t="n"/>
      <c r="AF72" s="15" t="n"/>
      <c r="AG72" s="15" t="n"/>
      <c r="AH72" s="15" t="n"/>
      <c r="AI72" s="15" t="n"/>
    </row>
    <row r="73">
      <c r="A73" s="17" t="inlineStr">
        <is>
          <t>TOTAL - SYNTHETIC STONES</t>
        </is>
      </c>
      <c r="B73" s="18" t="n">
        <v>1217.365</v>
      </c>
      <c r="C73" s="18" t="n">
        <v>95255</v>
      </c>
      <c r="D73" s="18">
        <f>SUM(D69:D72)</f>
        <v/>
      </c>
      <c r="E73" s="18">
        <f>SUM(E69:E72)</f>
        <v/>
      </c>
      <c r="F73" s="18">
        <f>SUM(F69:F72)</f>
        <v/>
      </c>
      <c r="G73" s="18">
        <f>SUM(G69:G72)</f>
        <v/>
      </c>
      <c r="H73" s="18">
        <f>SUM(H69:H72)</f>
        <v/>
      </c>
      <c r="I73" s="18">
        <f>SUM(I69:I72)</f>
        <v/>
      </c>
      <c r="J73" s="18">
        <f>SUM(J69:J72)</f>
        <v/>
      </c>
      <c r="K73" s="18">
        <f>SUM(K69:K72)</f>
        <v/>
      </c>
      <c r="L73" s="18">
        <f>SUM(L69:L72)</f>
        <v/>
      </c>
      <c r="M73" s="18">
        <f>SUM(M69:M72)</f>
        <v/>
      </c>
      <c r="N73" s="18" t="n">
        <v>1217.365</v>
      </c>
      <c r="O73" s="18" t="n">
        <v>95255</v>
      </c>
      <c r="P73" s="18" t="n">
        <v>78</v>
      </c>
      <c r="Q73" s="18">
        <f>SUM(Q69:Q72)</f>
        <v/>
      </c>
      <c r="R73" s="18">
        <f>SUM(R69:R72)</f>
        <v/>
      </c>
      <c r="S73" s="18" t="n">
        <v>754.21</v>
      </c>
      <c r="T73" s="18" t="n">
        <v>63680</v>
      </c>
      <c r="U73" s="18">
        <f>SUM(U69:U72)</f>
        <v/>
      </c>
      <c r="V73" s="18">
        <f>SUM(V69:V72)</f>
        <v/>
      </c>
      <c r="W73" s="18" t="n">
        <v>754.21</v>
      </c>
      <c r="X73" s="18" t="n">
        <v>63680</v>
      </c>
      <c r="Y73" s="18" t="n">
        <v>129.24</v>
      </c>
      <c r="Z73" s="18" t="n">
        <v>23862</v>
      </c>
      <c r="AA73" s="18" t="n">
        <v>333.915</v>
      </c>
      <c r="AB73" s="18" t="n">
        <v>17691</v>
      </c>
      <c r="AC73" s="18" t="n">
        <v>9979</v>
      </c>
      <c r="AD73" s="19" t="n">
        <v>0.4182</v>
      </c>
      <c r="AE73" s="18">
        <f>SUM(AE69:AE72)</f>
        <v/>
      </c>
      <c r="AF73" s="18">
        <f>SUM(AF69:AF72)</f>
        <v/>
      </c>
      <c r="AG73" s="18">
        <f>SUM(AG69:AG72)</f>
        <v/>
      </c>
      <c r="AH73" s="18">
        <f>SUM(AH69:AH72)</f>
        <v/>
      </c>
      <c r="AI73" s="20" t="n"/>
    </row>
    <row r="74">
      <c r="A74" s="21" t="inlineStr">
        <is>
          <t>GRAND TOTAL</t>
        </is>
      </c>
      <c r="B74" s="22" t="n">
        <v>57905.655</v>
      </c>
      <c r="C74" s="22" t="n">
        <v>33133332</v>
      </c>
      <c r="D74" s="22">
        <f>SUM(D11:D72)</f>
        <v/>
      </c>
      <c r="E74" s="22">
        <f>SUM(E11:E72)</f>
        <v/>
      </c>
      <c r="F74" s="22">
        <f>SUM(F11:F72)</f>
        <v/>
      </c>
      <c r="G74" s="22">
        <f>SUM(G11:G72)</f>
        <v/>
      </c>
      <c r="H74" s="22" t="n">
        <v>1239.92</v>
      </c>
      <c r="I74" s="22" t="n">
        <v>91312</v>
      </c>
      <c r="J74" s="22">
        <f>SUM(J11:J72)</f>
        <v/>
      </c>
      <c r="K74" s="22">
        <f>SUM(K11:K72)</f>
        <v/>
      </c>
      <c r="L74" s="22" t="n">
        <v>1239.92</v>
      </c>
      <c r="M74" s="22" t="n">
        <v>91312</v>
      </c>
      <c r="N74" s="22" t="n">
        <v>59145.575</v>
      </c>
      <c r="O74" s="22" t="n">
        <v>33224644</v>
      </c>
      <c r="P74" s="22" t="n">
        <v>562</v>
      </c>
      <c r="Q74" s="22">
        <f>SUM(Q11:Q72)</f>
        <v/>
      </c>
      <c r="R74" s="22">
        <f>SUM(R11:R72)</f>
        <v/>
      </c>
      <c r="S74" s="22" t="n">
        <v>32591.89400000001</v>
      </c>
      <c r="T74" s="22" t="n">
        <v>27842053</v>
      </c>
      <c r="U74" s="22">
        <f>SUM(U11:U72)</f>
        <v/>
      </c>
      <c r="V74" s="22">
        <f>SUM(V11:V72)</f>
        <v/>
      </c>
      <c r="W74" s="22" t="n">
        <v>32591.89400000001</v>
      </c>
      <c r="X74" s="22" t="n">
        <v>27842053</v>
      </c>
      <c r="Y74" s="22" t="n">
        <v>15630.47</v>
      </c>
      <c r="Z74" s="22" t="n">
        <v>2172118</v>
      </c>
      <c r="AA74" s="22" t="n">
        <v>10923.211</v>
      </c>
      <c r="AB74" s="22" t="n">
        <v>3767371</v>
      </c>
      <c r="AC74" s="22" t="n">
        <v>556898</v>
      </c>
      <c r="AD74" s="23" t="n">
        <v>0.2564</v>
      </c>
      <c r="AE74" s="22">
        <f>SUM(AE11:AE72)</f>
        <v/>
      </c>
      <c r="AF74" s="22">
        <f>SUM(AF11:AF72)</f>
        <v/>
      </c>
      <c r="AG74" s="22">
        <f>SUM(AG11:AG72)</f>
        <v/>
      </c>
      <c r="AH74" s="22">
        <f>SUM(AH11:AH72)</f>
        <v/>
      </c>
      <c r="AI74" s="24" t="n"/>
    </row>
  </sheetData>
  <mergeCells count="23">
    <mergeCell ref="Q7:R7"/>
    <mergeCell ref="L7:M7"/>
    <mergeCell ref="F6:M6"/>
    <mergeCell ref="F7:G7"/>
    <mergeCell ref="D6:E6"/>
    <mergeCell ref="AA6:AB6"/>
    <mergeCell ref="S7:T7"/>
    <mergeCell ref="A1:AI1"/>
    <mergeCell ref="A6:A9"/>
    <mergeCell ref="U7:V7"/>
    <mergeCell ref="W7:X7"/>
    <mergeCell ref="H7:I7"/>
    <mergeCell ref="Q6:X6"/>
    <mergeCell ref="J7:K7"/>
    <mergeCell ref="Y6:Z6"/>
    <mergeCell ref="A3:AI3"/>
    <mergeCell ref="A2:AI2"/>
    <mergeCell ref="B6:C6"/>
    <mergeCell ref="AC6:AD6"/>
    <mergeCell ref="N6:O6"/>
    <mergeCell ref="AE6:AF6"/>
    <mergeCell ref="A4:AI4"/>
    <mergeCell ref="AG6:AI6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G10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3" customWidth="1" min="4" max="4"/>
    <col width="32" customWidth="1" min="5" max="5"/>
    <col width="14" customWidth="1" min="6" max="6"/>
    <col width="16" customWidth="1" min="7" max="7"/>
  </cols>
  <sheetData>
    <row r="1" ht="22" customHeight="1">
      <c r="A1" s="25" t="inlineStr">
        <is>
          <t>GOLD ACCOUNT - 24K</t>
        </is>
      </c>
      <c r="B1" s="12" t="n"/>
      <c r="C1" s="12" t="n"/>
      <c r="D1" s="12" t="n"/>
      <c r="E1" s="12" t="n"/>
      <c r="F1" s="12" t="n"/>
      <c r="G1" s="12" t="n"/>
    </row>
    <row r="2">
      <c r="A2" s="26" t="inlineStr">
        <is>
          <t>Particulars</t>
        </is>
      </c>
      <c r="B2" s="26" t="inlineStr">
        <is>
          <t>Qty (Grms)</t>
        </is>
      </c>
      <c r="C2" s="27" t="inlineStr">
        <is>
          <t>Amount</t>
        </is>
      </c>
      <c r="D2" s="28" t="n"/>
      <c r="E2" s="26" t="inlineStr">
        <is>
          <t>Particulars</t>
        </is>
      </c>
      <c r="F2" s="26" t="inlineStr">
        <is>
          <t>Qty (Grms)</t>
        </is>
      </c>
      <c r="G2" s="26" t="inlineStr">
        <is>
          <t>Amount</t>
        </is>
      </c>
    </row>
    <row r="3">
      <c r="A3" s="13" t="inlineStr">
        <is>
          <t>To Opening Stock</t>
        </is>
      </c>
      <c r="B3" s="29" t="n">
        <v>2127.58</v>
      </c>
      <c r="C3" s="30" t="n">
        <v>16798636.26419274</v>
      </c>
      <c r="D3" s="28" t="n"/>
      <c r="E3" s="13" t="inlineStr">
        <is>
          <t>By Sales</t>
        </is>
      </c>
      <c r="F3" s="29" t="n">
        <v>332.69</v>
      </c>
      <c r="G3" s="29" t="n">
        <v>3433399.627</v>
      </c>
    </row>
    <row r="4">
      <c r="A4" s="13" t="inlineStr">
        <is>
          <t>To Purchases</t>
        </is>
      </c>
      <c r="B4" s="29" t="n">
        <v>4104.3</v>
      </c>
      <c r="C4" s="30" t="n">
        <v>43206003.923</v>
      </c>
      <c r="D4" s="28" t="n"/>
      <c r="E4" s="13" t="inlineStr">
        <is>
          <t>Less: Sales Returns</t>
        </is>
      </c>
      <c r="F4" s="31" t="n"/>
      <c r="G4" s="31" t="n"/>
    </row>
    <row r="5">
      <c r="A5" s="13" t="inlineStr">
        <is>
          <t>Less: Purchase Returns</t>
        </is>
      </c>
      <c r="B5" s="31" t="n"/>
      <c r="C5" s="32" t="n"/>
      <c r="D5" s="28" t="n"/>
      <c r="E5" s="13" t="inlineStr">
        <is>
          <t>Net Sales</t>
        </is>
      </c>
      <c r="F5" s="29" t="n">
        <v>332.69</v>
      </c>
      <c r="G5" s="29" t="n">
        <v>3433399.627</v>
      </c>
    </row>
    <row r="6">
      <c r="A6" s="13" t="inlineStr">
        <is>
          <t>Net Purchases</t>
        </is>
      </c>
      <c r="B6" s="29" t="n">
        <v>4104.3</v>
      </c>
      <c r="C6" s="30" t="n">
        <v>43206003.923</v>
      </c>
      <c r="D6" s="28" t="n"/>
      <c r="E6" s="13" t="inlineStr">
        <is>
          <t>By Transfer to Head Office</t>
        </is>
      </c>
      <c r="F6" s="29" t="n">
        <v>5683.63</v>
      </c>
      <c r="G6" s="29" t="n">
        <v>54725728.331814</v>
      </c>
    </row>
    <row r="7">
      <c r="A7" s="13" t="inlineStr">
        <is>
          <t>To Gross Profit</t>
        </is>
      </c>
      <c r="B7" s="15" t="n"/>
      <c r="C7" s="30" t="n">
        <v>230041.246989256</v>
      </c>
      <c r="D7" s="28" t="n"/>
      <c r="E7" s="13" t="inlineStr">
        <is>
          <t>By Closing stock</t>
        </is>
      </c>
      <c r="F7" s="29" t="n">
        <v>215.56</v>
      </c>
      <c r="G7" s="29" t="n">
        <v>2075553.475368</v>
      </c>
    </row>
    <row r="8">
      <c r="A8" s="17" t="inlineStr">
        <is>
          <t>Total</t>
        </is>
      </c>
      <c r="B8" s="18" t="n">
        <v>6231.88</v>
      </c>
      <c r="C8" s="33" t="n">
        <v>60234681.434182</v>
      </c>
      <c r="D8" s="28" t="n"/>
      <c r="E8" s="17" t="inlineStr">
        <is>
          <t>Total</t>
        </is>
      </c>
      <c r="F8" s="18" t="n">
        <v>6231.88</v>
      </c>
      <c r="G8" s="18" t="n">
        <v>60234681.434182</v>
      </c>
    </row>
    <row r="12" ht="22" customHeight="1">
      <c r="A12" s="25" t="inlineStr">
        <is>
          <t>GOLD ORNAMENTS ACCOUNT - 22K</t>
        </is>
      </c>
      <c r="B12" s="12" t="n"/>
      <c r="C12" s="12" t="n"/>
      <c r="D12" s="12" t="n"/>
      <c r="E12" s="12" t="n"/>
      <c r="F12" s="12" t="n"/>
      <c r="G12" s="12" t="n"/>
    </row>
    <row r="13">
      <c r="A13" s="26" t="inlineStr">
        <is>
          <t>Particulars</t>
        </is>
      </c>
      <c r="B13" s="26" t="inlineStr">
        <is>
          <t>Qty (Grms)</t>
        </is>
      </c>
      <c r="C13" s="27" t="inlineStr">
        <is>
          <t>Amount</t>
        </is>
      </c>
      <c r="D13" s="28" t="n"/>
      <c r="E13" s="26" t="inlineStr">
        <is>
          <t>Particulars</t>
        </is>
      </c>
      <c r="F13" s="26" t="inlineStr">
        <is>
          <t>Qty (Grms)</t>
        </is>
      </c>
      <c r="G13" s="26" t="inlineStr">
        <is>
          <t>Amount</t>
        </is>
      </c>
    </row>
    <row r="14">
      <c r="A14" s="13" t="inlineStr">
        <is>
          <t>To Opening Stock</t>
        </is>
      </c>
      <c r="B14" s="29" t="n">
        <v>32686.071</v>
      </c>
      <c r="C14" s="30" t="n">
        <v>201955626.6402281</v>
      </c>
      <c r="D14" s="28" t="n"/>
      <c r="E14" s="13" t="inlineStr">
        <is>
          <t>By Sales</t>
        </is>
      </c>
      <c r="F14" s="29" t="n">
        <v>15107.355</v>
      </c>
      <c r="G14" s="29" t="n">
        <v>185744088.937</v>
      </c>
    </row>
    <row r="15">
      <c r="A15" s="13" t="inlineStr">
        <is>
          <t>To Purchases</t>
        </is>
      </c>
      <c r="B15" s="29" t="n">
        <v>2477.42</v>
      </c>
      <c r="C15" s="30" t="n">
        <v>32858502.818</v>
      </c>
      <c r="D15" s="28" t="n"/>
      <c r="E15" s="13" t="inlineStr">
        <is>
          <t>Less: Sales Returns</t>
        </is>
      </c>
      <c r="F15" s="31" t="n"/>
      <c r="G15" s="31" t="n"/>
    </row>
    <row r="16">
      <c r="A16" s="13" t="inlineStr">
        <is>
          <t>Less: Purchase Returns</t>
        </is>
      </c>
      <c r="B16" s="31" t="n"/>
      <c r="C16" s="32" t="n"/>
      <c r="D16" s="28" t="n"/>
      <c r="E16" s="13" t="inlineStr">
        <is>
          <t>Net Sales</t>
        </is>
      </c>
      <c r="F16" s="29" t="n">
        <v>15107.355</v>
      </c>
      <c r="G16" s="29" t="n">
        <v>185744088.937</v>
      </c>
    </row>
    <row r="17">
      <c r="A17" s="13" t="inlineStr">
        <is>
          <t>Net Purchases</t>
        </is>
      </c>
      <c r="B17" s="29" t="n">
        <v>2477.42</v>
      </c>
      <c r="C17" s="30" t="n">
        <v>32858502.818</v>
      </c>
      <c r="D17" s="28" t="n"/>
      <c r="E17" s="13" t="inlineStr">
        <is>
          <t>By Closing stock</t>
        </is>
      </c>
      <c r="F17" s="29" t="n">
        <v>75719.36599999999</v>
      </c>
      <c r="G17" s="29" t="n">
        <v>195757117.9091314</v>
      </c>
    </row>
    <row r="18">
      <c r="A18" s="13" t="inlineStr">
        <is>
          <t>To Transfer from Head Office</t>
        </is>
      </c>
      <c r="B18" s="29" t="n">
        <v>55663.23</v>
      </c>
      <c r="C18" s="32" t="n"/>
      <c r="D18" s="28" t="n"/>
      <c r="E18" s="13" t="n"/>
      <c r="F18" s="31" t="n"/>
      <c r="G18" s="31" t="n"/>
    </row>
    <row r="19">
      <c r="A19" s="13" t="inlineStr">
        <is>
          <t>To Making Charges</t>
        </is>
      </c>
      <c r="B19" s="31" t="n"/>
      <c r="C19" s="32" t="n"/>
      <c r="D19" s="28" t="n"/>
      <c r="E19" s="13" t="n"/>
      <c r="F19" s="31" t="n"/>
      <c r="G19" s="31" t="n"/>
    </row>
    <row r="20">
      <c r="A20" s="13" t="inlineStr">
        <is>
          <t>To Gross Profit</t>
        </is>
      </c>
      <c r="B20" s="15" t="n"/>
      <c r="C20" s="30" t="n">
        <v>146687077.3879033</v>
      </c>
      <c r="D20" s="28" t="n"/>
      <c r="E20" s="13" t="n"/>
      <c r="F20" s="31" t="n"/>
      <c r="G20" s="31" t="n"/>
    </row>
    <row r="21">
      <c r="A21" s="17" t="inlineStr">
        <is>
          <t>Total</t>
        </is>
      </c>
      <c r="B21" s="18" t="n">
        <v>90826.72100000001</v>
      </c>
      <c r="C21" s="33" t="n">
        <v>381501206.8461314</v>
      </c>
      <c r="D21" s="28" t="n"/>
      <c r="E21" s="17" t="inlineStr">
        <is>
          <t>Total</t>
        </is>
      </c>
      <c r="F21" s="18" t="n">
        <v>90826.72099999999</v>
      </c>
      <c r="G21" s="18" t="n">
        <v>381501206.8461314</v>
      </c>
    </row>
    <row r="25" ht="22" customHeight="1">
      <c r="A25" s="25" t="inlineStr">
        <is>
          <t>GOLD ORNAMENTS ACCOUNT - 18K</t>
        </is>
      </c>
      <c r="B25" s="12" t="n"/>
      <c r="C25" s="12" t="n"/>
      <c r="D25" s="12" t="n"/>
      <c r="E25" s="12" t="n"/>
      <c r="F25" s="12" t="n"/>
      <c r="G25" s="12" t="n"/>
    </row>
    <row r="26">
      <c r="A26" s="26" t="inlineStr">
        <is>
          <t>Particulars</t>
        </is>
      </c>
      <c r="B26" s="26" t="inlineStr">
        <is>
          <t>Qty (Grms)</t>
        </is>
      </c>
      <c r="C26" s="27" t="inlineStr">
        <is>
          <t>Amount</t>
        </is>
      </c>
      <c r="D26" s="28" t="n"/>
      <c r="E26" s="26" t="inlineStr">
        <is>
          <t>Particulars</t>
        </is>
      </c>
      <c r="F26" s="26" t="inlineStr">
        <is>
          <t>Qty (Grms)</t>
        </is>
      </c>
      <c r="G26" s="26" t="inlineStr">
        <is>
          <t>Amount</t>
        </is>
      </c>
    </row>
    <row r="27">
      <c r="A27" s="13" t="inlineStr">
        <is>
          <t>To Opening Stock</t>
        </is>
      </c>
      <c r="B27" s="29" t="n">
        <v>33674.418</v>
      </c>
      <c r="C27" s="30" t="n">
        <v>190783370.9835939</v>
      </c>
      <c r="D27" s="28" t="n"/>
      <c r="E27" s="13" t="inlineStr">
        <is>
          <t>By Sales</t>
        </is>
      </c>
      <c r="F27" s="29" t="n">
        <v>12388.071</v>
      </c>
      <c r="G27" s="29" t="n">
        <v>125015068.227</v>
      </c>
    </row>
    <row r="28">
      <c r="A28" s="13" t="inlineStr">
        <is>
          <t>To Purchases</t>
        </is>
      </c>
      <c r="B28" s="31" t="n"/>
      <c r="C28" s="32" t="n"/>
      <c r="D28" s="28" t="n"/>
      <c r="E28" s="13" t="inlineStr">
        <is>
          <t>Less: Returns</t>
        </is>
      </c>
      <c r="F28" s="31" t="n"/>
      <c r="G28" s="31" t="n"/>
    </row>
    <row r="29">
      <c r="A29" s="13" t="inlineStr">
        <is>
          <t>Less: Returns</t>
        </is>
      </c>
      <c r="B29" s="31" t="n"/>
      <c r="C29" s="32" t="n"/>
      <c r="D29" s="28" t="n"/>
      <c r="E29" s="13" t="inlineStr">
        <is>
          <t>Net Sales</t>
        </is>
      </c>
      <c r="F29" s="29" t="n">
        <v>12388.071</v>
      </c>
      <c r="G29" s="29" t="n">
        <v>125015068.227</v>
      </c>
    </row>
    <row r="30">
      <c r="A30" s="13" t="inlineStr">
        <is>
          <t>Net Purchases</t>
        </is>
      </c>
      <c r="B30" s="31" t="n"/>
      <c r="C30" s="32" t="n"/>
      <c r="D30" s="28" t="n"/>
      <c r="E30" s="13" t="inlineStr">
        <is>
          <t>By Closing stock</t>
        </is>
      </c>
      <c r="F30" s="29" t="n">
        <v>82173.065</v>
      </c>
      <c r="G30" s="29" t="n">
        <v>165789614.929016</v>
      </c>
    </row>
    <row r="31">
      <c r="A31" s="13" t="inlineStr">
        <is>
          <t>To Transfer from Head Office</t>
        </is>
      </c>
      <c r="B31" s="29" t="n">
        <v>60886.718</v>
      </c>
      <c r="C31" s="32" t="n"/>
      <c r="D31" s="28" t="n"/>
      <c r="E31" s="13" t="n"/>
      <c r="F31" s="31" t="n"/>
      <c r="G31" s="31" t="n"/>
    </row>
    <row r="32">
      <c r="A32" s="13" t="inlineStr">
        <is>
          <t>To Making Charges</t>
        </is>
      </c>
      <c r="B32" s="31" t="n"/>
      <c r="C32" s="32" t="n"/>
      <c r="D32" s="28" t="n"/>
      <c r="E32" s="13" t="n"/>
      <c r="F32" s="31" t="n"/>
      <c r="G32" s="31" t="n"/>
    </row>
    <row r="33">
      <c r="A33" s="13" t="inlineStr">
        <is>
          <t>To Gross Profit</t>
        </is>
      </c>
      <c r="B33" s="15" t="n"/>
      <c r="C33" s="30" t="n">
        <v>100021312.1724222</v>
      </c>
      <c r="D33" s="28" t="n"/>
      <c r="E33" s="13" t="n"/>
      <c r="F33" s="31" t="n"/>
      <c r="G33" s="31" t="n"/>
    </row>
    <row r="34">
      <c r="A34" s="17" t="inlineStr">
        <is>
          <t>Total</t>
        </is>
      </c>
      <c r="B34" s="18" t="n">
        <v>94561.136</v>
      </c>
      <c r="C34" s="33" t="n">
        <v>290804683.156016</v>
      </c>
      <c r="D34" s="28" t="n"/>
      <c r="E34" s="17" t="inlineStr">
        <is>
          <t>Total</t>
        </is>
      </c>
      <c r="F34" s="18" t="n">
        <v>94561.136</v>
      </c>
      <c r="G34" s="18" t="n">
        <v>290804683.156016</v>
      </c>
    </row>
    <row r="38" ht="22" customHeight="1">
      <c r="A38" s="25" t="inlineStr">
        <is>
          <t>GOLD ORNAMENTS ACCOUNT - 14K</t>
        </is>
      </c>
      <c r="B38" s="12" t="n"/>
      <c r="C38" s="12" t="n"/>
      <c r="D38" s="12" t="n"/>
      <c r="E38" s="12" t="n"/>
      <c r="F38" s="12" t="n"/>
      <c r="G38" s="12" t="n"/>
    </row>
    <row r="39">
      <c r="A39" s="26" t="inlineStr">
        <is>
          <t>Particulars</t>
        </is>
      </c>
      <c r="B39" s="26" t="inlineStr">
        <is>
          <t>Qty (Grms)</t>
        </is>
      </c>
      <c r="C39" s="27" t="inlineStr">
        <is>
          <t>Amount</t>
        </is>
      </c>
      <c r="D39" s="28" t="n"/>
      <c r="E39" s="26" t="inlineStr">
        <is>
          <t>Particulars</t>
        </is>
      </c>
      <c r="F39" s="26" t="inlineStr">
        <is>
          <t>Qty (Grms)</t>
        </is>
      </c>
      <c r="G39" s="26" t="inlineStr">
        <is>
          <t>Amount</t>
        </is>
      </c>
    </row>
    <row r="40">
      <c r="A40" s="13" t="inlineStr">
        <is>
          <t>To Opening Stock</t>
        </is>
      </c>
      <c r="B40" s="29" t="n">
        <v>1047.849</v>
      </c>
      <c r="C40" s="30" t="n">
        <v>5214821.540247395</v>
      </c>
      <c r="D40" s="28" t="n"/>
      <c r="E40" s="13" t="inlineStr">
        <is>
          <t>By Sales</t>
        </is>
      </c>
      <c r="F40" s="29" t="n">
        <v>231.73</v>
      </c>
      <c r="G40" s="29" t="n">
        <v>1989631.542</v>
      </c>
    </row>
    <row r="41">
      <c r="A41" s="13" t="inlineStr">
        <is>
          <t>To Purchases</t>
        </is>
      </c>
      <c r="B41" s="31" t="n"/>
      <c r="C41" s="32" t="n"/>
      <c r="D41" s="28" t="n"/>
      <c r="E41" s="13" t="inlineStr">
        <is>
          <t>Less: Sales Returns</t>
        </is>
      </c>
      <c r="F41" s="31" t="n"/>
      <c r="G41" s="31" t="n"/>
    </row>
    <row r="42">
      <c r="A42" s="13" t="inlineStr">
        <is>
          <t>Less: Purchase Returns</t>
        </is>
      </c>
      <c r="B42" s="31" t="n"/>
      <c r="C42" s="32" t="n"/>
      <c r="D42" s="28" t="n"/>
      <c r="E42" s="13" t="inlineStr">
        <is>
          <t>Net Sales</t>
        </is>
      </c>
      <c r="F42" s="29" t="n">
        <v>231.73</v>
      </c>
      <c r="G42" s="29" t="n">
        <v>1989631.542</v>
      </c>
    </row>
    <row r="43">
      <c r="A43" s="13" t="inlineStr">
        <is>
          <t>Net Purchases</t>
        </is>
      </c>
      <c r="B43" s="31" t="n"/>
      <c r="C43" s="32" t="n"/>
      <c r="D43" s="28" t="n"/>
      <c r="E43" s="13" t="inlineStr">
        <is>
          <t>By Closing stock</t>
        </is>
      </c>
      <c r="F43" s="29" t="n">
        <v>1130.086</v>
      </c>
      <c r="G43" s="29" t="n">
        <v>4327454.4800298</v>
      </c>
    </row>
    <row r="44">
      <c r="A44" s="13" t="inlineStr">
        <is>
          <t>To Transfer from Head Office</t>
        </is>
      </c>
      <c r="B44" s="29" t="n">
        <v>313.967</v>
      </c>
      <c r="C44" s="32" t="n"/>
      <c r="D44" s="28" t="n"/>
      <c r="E44" s="13" t="n"/>
      <c r="F44" s="31" t="n"/>
      <c r="G44" s="31" t="n"/>
    </row>
    <row r="45">
      <c r="A45" s="13" t="inlineStr">
        <is>
          <t>To Gross Profit</t>
        </is>
      </c>
      <c r="B45" s="15" t="n"/>
      <c r="C45" s="30" t="n">
        <v>1102264.481782405</v>
      </c>
      <c r="D45" s="28" t="n"/>
      <c r="E45" s="13" t="n"/>
      <c r="F45" s="31" t="n"/>
      <c r="G45" s="31" t="n"/>
    </row>
    <row r="46">
      <c r="A46" s="17" t="inlineStr">
        <is>
          <t>Total</t>
        </is>
      </c>
      <c r="B46" s="18" t="n">
        <v>1361.816</v>
      </c>
      <c r="C46" s="33" t="n">
        <v>6317086.022029799</v>
      </c>
      <c r="D46" s="28" t="n"/>
      <c r="E46" s="17" t="inlineStr">
        <is>
          <t>Total</t>
        </is>
      </c>
      <c r="F46" s="18" t="n">
        <v>1361.816</v>
      </c>
      <c r="G46" s="18" t="n">
        <v>6317086.0220298</v>
      </c>
    </row>
    <row r="50" ht="22" customHeight="1">
      <c r="A50" s="25" t="inlineStr">
        <is>
          <t>SILVER ACCOUNT</t>
        </is>
      </c>
      <c r="B50" s="12" t="n"/>
      <c r="C50" s="12" t="n"/>
      <c r="D50" s="12" t="n"/>
      <c r="E50" s="12" t="n"/>
      <c r="F50" s="12" t="n"/>
      <c r="G50" s="12" t="n"/>
    </row>
    <row r="51">
      <c r="A51" s="26" t="inlineStr">
        <is>
          <t>Particulars</t>
        </is>
      </c>
      <c r="B51" s="26" t="inlineStr">
        <is>
          <t>Qty (Grms)</t>
        </is>
      </c>
      <c r="C51" s="27" t="inlineStr">
        <is>
          <t>Amount</t>
        </is>
      </c>
      <c r="D51" s="28" t="n"/>
      <c r="E51" s="26" t="inlineStr">
        <is>
          <t>Particulars</t>
        </is>
      </c>
      <c r="F51" s="26" t="inlineStr">
        <is>
          <t>Qty (Grms)</t>
        </is>
      </c>
      <c r="G51" s="26" t="inlineStr">
        <is>
          <t>Amount</t>
        </is>
      </c>
    </row>
    <row r="52">
      <c r="A52" s="13" t="inlineStr">
        <is>
          <t>To Opening Stock</t>
        </is>
      </c>
      <c r="B52" s="29" t="n">
        <v>94754.74000000001</v>
      </c>
      <c r="C52" s="30" t="n">
        <v>7220770.066311223</v>
      </c>
      <c r="D52" s="28" t="n"/>
      <c r="E52" s="13" t="inlineStr">
        <is>
          <t>By Sales</t>
        </is>
      </c>
      <c r="F52" s="29" t="n">
        <v>56363.145</v>
      </c>
      <c r="G52" s="29" t="n">
        <v>9476522.354</v>
      </c>
    </row>
    <row r="53">
      <c r="A53" s="13" t="inlineStr">
        <is>
          <t>To Purchases</t>
        </is>
      </c>
      <c r="B53" s="31" t="n"/>
      <c r="C53" s="32" t="n"/>
      <c r="D53" s="28" t="n"/>
      <c r="E53" s="13" t="inlineStr">
        <is>
          <t>Less: Sales Returns</t>
        </is>
      </c>
      <c r="F53" s="31" t="n"/>
      <c r="G53" s="31" t="n"/>
    </row>
    <row r="54">
      <c r="A54" s="13" t="inlineStr">
        <is>
          <t>Less: Returns</t>
        </is>
      </c>
      <c r="B54" s="31" t="n"/>
      <c r="C54" s="32" t="n"/>
      <c r="D54" s="28" t="n"/>
      <c r="E54" s="13" t="inlineStr">
        <is>
          <t>Net Sales</t>
        </is>
      </c>
      <c r="F54" s="29" t="n">
        <v>56363.145</v>
      </c>
      <c r="G54" s="29" t="n">
        <v>9476522.354</v>
      </c>
    </row>
    <row r="55">
      <c r="A55" s="13" t="inlineStr">
        <is>
          <t>Net Purchases</t>
        </is>
      </c>
      <c r="B55" s="31" t="n"/>
      <c r="C55" s="32" t="n"/>
      <c r="D55" s="28" t="n"/>
      <c r="E55" s="13" t="inlineStr">
        <is>
          <t>By Closing stock</t>
        </is>
      </c>
      <c r="F55" s="29" t="n">
        <v>118656.675</v>
      </c>
      <c r="G55" s="29" t="n">
        <v>4895406.5748075</v>
      </c>
    </row>
    <row r="56">
      <c r="A56" s="13" t="inlineStr">
        <is>
          <t>To Transfer from Head Office</t>
        </is>
      </c>
      <c r="B56" s="29" t="n">
        <v>80265.08</v>
      </c>
      <c r="C56" s="32" t="n"/>
      <c r="D56" s="28" t="n"/>
      <c r="E56" s="13" t="n"/>
      <c r="F56" s="31" t="n"/>
      <c r="G56" s="31" t="n"/>
    </row>
    <row r="57">
      <c r="A57" s="13" t="inlineStr">
        <is>
          <t>To Gross Profit</t>
        </is>
      </c>
      <c r="B57" s="15" t="n"/>
      <c r="C57" s="30" t="n">
        <v>7151158.862496277</v>
      </c>
      <c r="D57" s="28" t="n"/>
      <c r="E57" s="13" t="n"/>
      <c r="F57" s="31" t="n"/>
      <c r="G57" s="31" t="n"/>
    </row>
    <row r="58">
      <c r="A58" s="17" t="inlineStr">
        <is>
          <t>Total</t>
        </is>
      </c>
      <c r="B58" s="18" t="n">
        <v>175019.82</v>
      </c>
      <c r="C58" s="33" t="n">
        <v>14371928.9288075</v>
      </c>
      <c r="D58" s="28" t="n"/>
      <c r="E58" s="17" t="inlineStr">
        <is>
          <t>Total</t>
        </is>
      </c>
      <c r="F58" s="18" t="n">
        <v>175019.82</v>
      </c>
      <c r="G58" s="18" t="n">
        <v>14371928.9288075</v>
      </c>
    </row>
    <row r="62" ht="22" customHeight="1">
      <c r="A62" s="25" t="inlineStr">
        <is>
          <t>DIAMONDS ACCOUNT</t>
        </is>
      </c>
      <c r="B62" s="12" t="n"/>
      <c r="C62" s="12" t="n"/>
      <c r="D62" s="12" t="n"/>
      <c r="E62" s="12" t="n"/>
      <c r="F62" s="12" t="n"/>
      <c r="G62" s="12" t="n"/>
    </row>
    <row r="63">
      <c r="A63" s="26" t="inlineStr">
        <is>
          <t>Particulars</t>
        </is>
      </c>
      <c r="B63" s="26" t="inlineStr">
        <is>
          <t>Qty (Cts)</t>
        </is>
      </c>
      <c r="C63" s="27" t="inlineStr">
        <is>
          <t>Amount</t>
        </is>
      </c>
      <c r="D63" s="28" t="n"/>
      <c r="E63" s="26" t="inlineStr">
        <is>
          <t>Particulars</t>
        </is>
      </c>
      <c r="F63" s="26" t="inlineStr">
        <is>
          <t>Qty (Cts)</t>
        </is>
      </c>
      <c r="G63" s="26" t="inlineStr">
        <is>
          <t>Amount</t>
        </is>
      </c>
    </row>
    <row r="64">
      <c r="A64" s="13" t="inlineStr">
        <is>
          <t>To Opening Stock</t>
        </is>
      </c>
      <c r="B64" s="29" t="n">
        <v>7105.459999999998</v>
      </c>
      <c r="C64" s="30" t="n">
        <v>171504492</v>
      </c>
      <c r="D64" s="28" t="n"/>
      <c r="E64" s="13" t="inlineStr">
        <is>
          <t>By Sales</t>
        </is>
      </c>
      <c r="F64" s="29" t="n">
        <v>2541.525</v>
      </c>
      <c r="G64" s="29" t="n">
        <v>88687795</v>
      </c>
    </row>
    <row r="65">
      <c r="A65" s="13" t="inlineStr">
        <is>
          <t>To Purchases</t>
        </is>
      </c>
      <c r="B65" s="31" t="n"/>
      <c r="C65" s="32" t="n"/>
      <c r="D65" s="28" t="n"/>
      <c r="E65" s="13" t="inlineStr">
        <is>
          <t>By Closing stock</t>
        </is>
      </c>
      <c r="F65" s="29" t="n">
        <v>7381.194999999999</v>
      </c>
      <c r="G65" s="29" t="n">
        <v>167774022</v>
      </c>
    </row>
    <row r="66">
      <c r="A66" s="13" t="inlineStr">
        <is>
          <t>To Transfer from Head Office</t>
        </is>
      </c>
      <c r="B66" s="29" t="n">
        <v>2817.26</v>
      </c>
      <c r="C66" s="32" t="n"/>
      <c r="D66" s="28" t="n"/>
      <c r="E66" s="13" t="n"/>
      <c r="F66" s="31" t="n"/>
      <c r="G66" s="31" t="n"/>
    </row>
    <row r="67">
      <c r="A67" s="13" t="inlineStr">
        <is>
          <t>To Gross Profit</t>
        </is>
      </c>
      <c r="B67" s="15" t="n"/>
      <c r="C67" s="30" t="n">
        <v>84957325</v>
      </c>
      <c r="D67" s="28" t="n"/>
      <c r="E67" s="13" t="n"/>
      <c r="F67" s="31" t="n"/>
      <c r="G67" s="31" t="n"/>
    </row>
    <row r="68">
      <c r="A68" s="17" t="inlineStr">
        <is>
          <t>Total</t>
        </is>
      </c>
      <c r="B68" s="18" t="n">
        <v>9922.719999999998</v>
      </c>
      <c r="C68" s="33" t="n">
        <v>256461817</v>
      </c>
      <c r="D68" s="28" t="n"/>
      <c r="E68" s="17" t="inlineStr">
        <is>
          <t>Total</t>
        </is>
      </c>
      <c r="F68" s="18" t="n">
        <v>9922.719999999999</v>
      </c>
      <c r="G68" s="18" t="n">
        <v>256461817</v>
      </c>
    </row>
    <row r="72" ht="22" customHeight="1">
      <c r="A72" s="25" t="inlineStr">
        <is>
          <t>EMERALDS ACCOUNT</t>
        </is>
      </c>
      <c r="B72" s="12" t="n"/>
      <c r="C72" s="12" t="n"/>
      <c r="D72" s="12" t="n"/>
      <c r="E72" s="12" t="n"/>
      <c r="F72" s="12" t="n"/>
      <c r="G72" s="12" t="n"/>
    </row>
    <row r="73">
      <c r="A73" s="26" t="inlineStr">
        <is>
          <t>Particulars</t>
        </is>
      </c>
      <c r="B73" s="26" t="inlineStr">
        <is>
          <t>Qty (Cts)</t>
        </is>
      </c>
      <c r="C73" s="27" t="inlineStr">
        <is>
          <t>Amount</t>
        </is>
      </c>
      <c r="D73" s="28" t="n"/>
      <c r="E73" s="26" t="inlineStr">
        <is>
          <t>Particulars</t>
        </is>
      </c>
      <c r="F73" s="26" t="inlineStr">
        <is>
          <t>Qty (Cts)</t>
        </is>
      </c>
      <c r="G73" s="26" t="inlineStr">
        <is>
          <t>Amount</t>
        </is>
      </c>
    </row>
    <row r="74">
      <c r="A74" s="13" t="inlineStr">
        <is>
          <t>To Opening Stock</t>
        </is>
      </c>
      <c r="B74" s="29" t="n">
        <v>12561.88</v>
      </c>
      <c r="C74" s="30" t="n">
        <v>4745374</v>
      </c>
      <c r="D74" s="28" t="n"/>
      <c r="E74" s="13" t="inlineStr">
        <is>
          <t>By Sales</t>
        </is>
      </c>
      <c r="F74" s="29" t="n">
        <v>4145.790000000002</v>
      </c>
      <c r="G74" s="29" t="n">
        <v>2596587</v>
      </c>
    </row>
    <row r="75">
      <c r="A75" s="13" t="inlineStr">
        <is>
          <t>To Purchases</t>
        </is>
      </c>
      <c r="B75" s="31" t="n"/>
      <c r="C75" s="32" t="n"/>
      <c r="D75" s="28" t="n"/>
      <c r="E75" s="13" t="inlineStr">
        <is>
          <t>By Closing stock</t>
        </is>
      </c>
      <c r="F75" s="29" t="n">
        <v>11001.43</v>
      </c>
      <c r="G75" s="29" t="n">
        <v>734118</v>
      </c>
    </row>
    <row r="76">
      <c r="A76" s="13" t="inlineStr">
        <is>
          <t>To Transfer from Head Office</t>
        </is>
      </c>
      <c r="B76" s="29" t="n">
        <v>2585.339999999997</v>
      </c>
      <c r="C76" s="32" t="n"/>
      <c r="D76" s="28" t="n"/>
      <c r="E76" s="13" t="n"/>
      <c r="F76" s="31" t="n"/>
      <c r="G76" s="31" t="n"/>
    </row>
    <row r="77">
      <c r="A77" s="13" t="inlineStr">
        <is>
          <t>To Gross Profit</t>
        </is>
      </c>
      <c r="B77" s="15" t="n"/>
      <c r="C77" s="30" t="n">
        <v>-1414669</v>
      </c>
      <c r="D77" s="28" t="n"/>
      <c r="E77" s="13" t="n"/>
      <c r="F77" s="31" t="n"/>
      <c r="G77" s="31" t="n"/>
    </row>
    <row r="78">
      <c r="A78" s="17" t="inlineStr">
        <is>
          <t>Total</t>
        </is>
      </c>
      <c r="B78" s="18" t="n">
        <v>15147.21999999999</v>
      </c>
      <c r="C78" s="33" t="n">
        <v>3330705</v>
      </c>
      <c r="D78" s="28" t="n"/>
      <c r="E78" s="17" t="inlineStr">
        <is>
          <t>Total</t>
        </is>
      </c>
      <c r="F78" s="18" t="n">
        <v>15147.22</v>
      </c>
      <c r="G78" s="18" t="n">
        <v>3330705</v>
      </c>
    </row>
    <row r="82" ht="22" customHeight="1">
      <c r="A82" s="25" t="inlineStr">
        <is>
          <t>RUBIES ACCOUNT</t>
        </is>
      </c>
      <c r="B82" s="12" t="n"/>
      <c r="C82" s="12" t="n"/>
      <c r="D82" s="12" t="n"/>
      <c r="E82" s="12" t="n"/>
      <c r="F82" s="12" t="n"/>
      <c r="G82" s="12" t="n"/>
    </row>
    <row r="83">
      <c r="A83" s="26" t="inlineStr">
        <is>
          <t>Particulars</t>
        </is>
      </c>
      <c r="B83" s="26" t="inlineStr">
        <is>
          <t>Qty (Cts)</t>
        </is>
      </c>
      <c r="C83" s="27" t="inlineStr">
        <is>
          <t>Amount</t>
        </is>
      </c>
      <c r="D83" s="28" t="n"/>
      <c r="E83" s="26" t="inlineStr">
        <is>
          <t>Particulars</t>
        </is>
      </c>
      <c r="F83" s="26" t="inlineStr">
        <is>
          <t>Qty (Cts)</t>
        </is>
      </c>
      <c r="G83" s="26" t="inlineStr">
        <is>
          <t>Amount</t>
        </is>
      </c>
    </row>
    <row r="84">
      <c r="A84" s="13" t="inlineStr">
        <is>
          <t>To Opening Stock</t>
        </is>
      </c>
      <c r="B84" s="29" t="n">
        <v>5816.61</v>
      </c>
      <c r="C84" s="30" t="n">
        <v>2426141</v>
      </c>
      <c r="D84" s="28" t="n"/>
      <c r="E84" s="13" t="inlineStr">
        <is>
          <t>By Sales</t>
        </is>
      </c>
      <c r="F84" s="29" t="n">
        <v>1631.805</v>
      </c>
      <c r="G84" s="29" t="n">
        <v>750428</v>
      </c>
    </row>
    <row r="85">
      <c r="A85" s="13" t="inlineStr">
        <is>
          <t>To Purchases</t>
        </is>
      </c>
      <c r="B85" s="31" t="n"/>
      <c r="C85" s="32" t="n"/>
      <c r="D85" s="28" t="n"/>
      <c r="E85" s="13" t="inlineStr">
        <is>
          <t>By Closing stock</t>
        </is>
      </c>
      <c r="F85" s="29" t="n">
        <v>4277.525</v>
      </c>
      <c r="G85" s="29" t="n">
        <v>445325</v>
      </c>
    </row>
    <row r="86">
      <c r="A86" s="13" t="inlineStr">
        <is>
          <t>To Transfer from Head Office</t>
        </is>
      </c>
      <c r="B86" s="29" t="n">
        <v>92.72000000000071</v>
      </c>
      <c r="C86" s="32" t="n"/>
      <c r="D86" s="28" t="n"/>
      <c r="E86" s="13" t="n"/>
      <c r="F86" s="31" t="n"/>
      <c r="G86" s="31" t="n"/>
    </row>
    <row r="87">
      <c r="A87" s="13" t="inlineStr">
        <is>
          <t>To Gross Profit</t>
        </is>
      </c>
      <c r="B87" s="15" t="n"/>
      <c r="C87" s="30" t="n">
        <v>-1230388</v>
      </c>
      <c r="D87" s="28" t="n"/>
      <c r="E87" s="13" t="n"/>
      <c r="F87" s="31" t="n"/>
      <c r="G87" s="31" t="n"/>
    </row>
    <row r="88">
      <c r="A88" s="17" t="inlineStr">
        <is>
          <t>Total</t>
        </is>
      </c>
      <c r="B88" s="18" t="n">
        <v>5909.33</v>
      </c>
      <c r="C88" s="33" t="n">
        <v>1195753</v>
      </c>
      <c r="D88" s="28" t="n"/>
      <c r="E88" s="17" t="inlineStr">
        <is>
          <t>Total</t>
        </is>
      </c>
      <c r="F88" s="18" t="n">
        <v>5909.33</v>
      </c>
      <c r="G88" s="18" t="n">
        <v>1195753</v>
      </c>
    </row>
    <row r="92" ht="22" customHeight="1">
      <c r="A92" s="25" t="inlineStr">
        <is>
          <t>PEARLS ACCOUNT</t>
        </is>
      </c>
      <c r="B92" s="12" t="n"/>
      <c r="C92" s="12" t="n"/>
      <c r="D92" s="12" t="n"/>
      <c r="E92" s="12" t="n"/>
      <c r="F92" s="12" t="n"/>
      <c r="G92" s="12" t="n"/>
    </row>
    <row r="93">
      <c r="A93" s="26" t="inlineStr">
        <is>
          <t>Particulars</t>
        </is>
      </c>
      <c r="B93" s="26" t="inlineStr">
        <is>
          <t>Qty (Grms)</t>
        </is>
      </c>
      <c r="C93" s="27" t="inlineStr">
        <is>
          <t>Amount</t>
        </is>
      </c>
      <c r="D93" s="28" t="n"/>
      <c r="E93" s="26" t="inlineStr">
        <is>
          <t>Particulars</t>
        </is>
      </c>
      <c r="F93" s="26" t="inlineStr">
        <is>
          <t>Qty (Grms)</t>
        </is>
      </c>
      <c r="G93" s="26" t="inlineStr">
        <is>
          <t>Amount</t>
        </is>
      </c>
    </row>
    <row r="94">
      <c r="A94" s="13" t="inlineStr">
        <is>
          <t>To Opening Stock</t>
        </is>
      </c>
      <c r="B94" s="29" t="n">
        <v>6484.621000000001</v>
      </c>
      <c r="C94" s="30" t="n">
        <v>3573019</v>
      </c>
      <c r="D94" s="28" t="n"/>
      <c r="E94" s="13" t="inlineStr">
        <is>
          <t>By Sales</t>
        </is>
      </c>
      <c r="F94" s="29" t="n">
        <v>2821.755999999999</v>
      </c>
      <c r="G94" s="29" t="n">
        <v>841363</v>
      </c>
    </row>
    <row r="95">
      <c r="A95" s="13" t="inlineStr">
        <is>
          <t>To Purchases</t>
        </is>
      </c>
      <c r="B95" s="31" t="n"/>
      <c r="C95" s="32" t="n"/>
      <c r="D95" s="28" t="n"/>
      <c r="E95" s="13" t="inlineStr">
        <is>
          <t>By Transfer to Head Office</t>
        </is>
      </c>
      <c r="F95" s="29" t="n">
        <v>1144.887000000001</v>
      </c>
      <c r="G95" s="29" t="n">
        <v>2634185</v>
      </c>
    </row>
    <row r="96">
      <c r="A96" s="13" t="inlineStr">
        <is>
          <t>To Gross Profit</t>
        </is>
      </c>
      <c r="B96" s="15" t="n"/>
      <c r="C96" s="30" t="n">
        <v>247367</v>
      </c>
      <c r="D96" s="28" t="n"/>
      <c r="E96" s="13" t="inlineStr">
        <is>
          <t>By Closing stock</t>
        </is>
      </c>
      <c r="F96" s="29" t="n">
        <v>2517.978</v>
      </c>
      <c r="G96" s="29" t="n">
        <v>344838</v>
      </c>
    </row>
    <row r="97">
      <c r="A97" s="17" t="inlineStr">
        <is>
          <t>Total</t>
        </is>
      </c>
      <c r="B97" s="18" t="n">
        <v>6484.621000000001</v>
      </c>
      <c r="C97" s="33" t="n">
        <v>3820386</v>
      </c>
      <c r="D97" s="28" t="n"/>
      <c r="E97" s="17" t="inlineStr">
        <is>
          <t>Total</t>
        </is>
      </c>
      <c r="F97" s="18" t="n">
        <v>6484.621</v>
      </c>
      <c r="G97" s="18" t="n">
        <v>3820386</v>
      </c>
    </row>
    <row r="101" ht="22" customHeight="1">
      <c r="A101" s="25" t="inlineStr">
        <is>
          <t>COLOR STONES ACCOUNT</t>
        </is>
      </c>
      <c r="B101" s="12" t="n"/>
      <c r="C101" s="12" t="n"/>
      <c r="D101" s="12" t="n"/>
      <c r="E101" s="12" t="n"/>
      <c r="F101" s="12" t="n"/>
      <c r="G101" s="12" t="n"/>
    </row>
    <row r="102">
      <c r="A102" s="26" t="inlineStr">
        <is>
          <t>Particulars</t>
        </is>
      </c>
      <c r="B102" s="26" t="inlineStr">
        <is>
          <t>Qty (Cts)</t>
        </is>
      </c>
      <c r="C102" s="27" t="inlineStr">
        <is>
          <t>Amount</t>
        </is>
      </c>
      <c r="D102" s="28" t="n"/>
      <c r="E102" s="26" t="inlineStr">
        <is>
          <t>Particulars</t>
        </is>
      </c>
      <c r="F102" s="26" t="inlineStr">
        <is>
          <t>Qty (Cts)</t>
        </is>
      </c>
      <c r="G102" s="26" t="inlineStr">
        <is>
          <t>Amount</t>
        </is>
      </c>
    </row>
    <row r="103">
      <c r="A103" s="13" t="inlineStr">
        <is>
          <t>To Opening Stock</t>
        </is>
      </c>
      <c r="B103" s="29" t="n">
        <v>57905.655</v>
      </c>
      <c r="C103" s="30" t="n">
        <v>33133332</v>
      </c>
      <c r="D103" s="28" t="n"/>
      <c r="E103" s="13" t="inlineStr">
        <is>
          <t>By Sales</t>
        </is>
      </c>
      <c r="F103" s="29" t="n">
        <v>15630.47</v>
      </c>
      <c r="G103" s="29" t="n">
        <v>2172118</v>
      </c>
    </row>
    <row r="104">
      <c r="A104" s="13" t="inlineStr">
        <is>
          <t>To Purchases</t>
        </is>
      </c>
      <c r="B104" s="31" t="n"/>
      <c r="C104" s="32" t="n"/>
      <c r="D104" s="28" t="n"/>
      <c r="E104" s="13" t="inlineStr">
        <is>
          <t>By Transfer to Head Office</t>
        </is>
      </c>
      <c r="F104" s="29" t="n">
        <v>31351.97400000001</v>
      </c>
      <c r="G104" s="29" t="n">
        <v>27750741</v>
      </c>
    </row>
    <row r="105">
      <c r="A105" s="13" t="inlineStr">
        <is>
          <t>To Gross Profit</t>
        </is>
      </c>
      <c r="B105" s="15" t="n"/>
      <c r="C105" s="30" t="n">
        <v>556898</v>
      </c>
      <c r="D105" s="28" t="n"/>
      <c r="E105" s="13" t="inlineStr">
        <is>
          <t>By Closing stock</t>
        </is>
      </c>
      <c r="F105" s="29" t="n">
        <v>10923.211</v>
      </c>
      <c r="G105" s="29" t="n">
        <v>3767371</v>
      </c>
    </row>
    <row r="106">
      <c r="A106" s="17" t="inlineStr">
        <is>
          <t>Total</t>
        </is>
      </c>
      <c r="B106" s="18" t="n">
        <v>57905.655</v>
      </c>
      <c r="C106" s="33" t="n">
        <v>33690230</v>
      </c>
      <c r="D106" s="28" t="n"/>
      <c r="E106" s="17" t="inlineStr">
        <is>
          <t>Total</t>
        </is>
      </c>
      <c r="F106" s="18" t="n">
        <v>57905.65500000001</v>
      </c>
      <c r="G106" s="18" t="n">
        <v>33690230</v>
      </c>
    </row>
  </sheetData>
  <mergeCells count="10">
    <mergeCell ref="A1:G1"/>
    <mergeCell ref="A50:G50"/>
    <mergeCell ref="A12:G12"/>
    <mergeCell ref="A62:G62"/>
    <mergeCell ref="A92:G92"/>
    <mergeCell ref="A38:G38"/>
    <mergeCell ref="A101:G101"/>
    <mergeCell ref="A72:G72"/>
    <mergeCell ref="A82:G82"/>
    <mergeCell ref="A25:G25"/>
  </mergeCells>
  <pageMargins left="0.75" right="0.75" top="1" bottom="1" header="0.5" footer="0.5"/>
  <pageSetup orientation="landscape" fitToHeight="1" fitToWidth="1"/>
</worksheet>
</file>

<file path=xl/worksheets/sheet7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W3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4" customWidth="1" min="2" max="2"/>
    <col width="16" customWidth="1" min="3" max="3"/>
    <col width="14" customWidth="1" min="4" max="4"/>
    <col width="16" customWidth="1" min="5" max="5"/>
    <col width="14" customWidth="1" min="6" max="6"/>
    <col width="16" customWidth="1" min="7" max="7"/>
    <col width="14" customWidth="1" min="8" max="8"/>
    <col width="16" customWidth="1" min="9" max="9"/>
    <col width="14" customWidth="1" min="10" max="10"/>
    <col width="16" customWidth="1" min="11" max="11"/>
    <col width="14" customWidth="1" min="12" max="12"/>
    <col width="16" customWidth="1" min="13" max="13"/>
    <col width="14" customWidth="1" min="14" max="14"/>
    <col width="16" customWidth="1" min="15" max="15"/>
    <col width="14" customWidth="1" min="16" max="16"/>
    <col width="16" customWidth="1" min="17" max="17"/>
    <col width="14" customWidth="1" min="18" max="18"/>
    <col width="16" customWidth="1" min="19" max="19"/>
    <col width="14" customWidth="1" min="20" max="20"/>
    <col width="16" customWidth="1" min="21" max="21"/>
    <col width="16" customWidth="1" min="22" max="22"/>
    <col width="16" customWidth="1" min="23" max="23"/>
  </cols>
  <sheetData>
    <row r="1" ht="22" customHeight="1">
      <c r="A1" s="25" t="inlineStr">
        <is>
          <t>Trading Account Abstract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</row>
    <row r="2" ht="24" customHeight="1">
      <c r="A2" s="34" t="inlineStr">
        <is>
          <t>Particulars</t>
        </is>
      </c>
      <c r="B2" s="26" t="inlineStr">
        <is>
          <t>Opening Stock</t>
        </is>
      </c>
      <c r="C2" s="26" t="n"/>
      <c r="D2" s="26" t="inlineStr">
        <is>
          <t>Purchases</t>
        </is>
      </c>
      <c r="E2" s="26" t="n"/>
      <c r="F2" s="26" t="inlineStr">
        <is>
          <t>Receipts - Jubilee Hills</t>
        </is>
      </c>
      <c r="G2" s="26" t="n"/>
      <c r="H2" s="26" t="inlineStr">
        <is>
          <t>Transfer (Receipts)</t>
        </is>
      </c>
      <c r="I2" s="26" t="n"/>
      <c r="J2" s="26" t="inlineStr">
        <is>
          <t>Issues - Internal Stock Transfer</t>
        </is>
      </c>
      <c r="K2" s="26" t="n"/>
      <c r="L2" s="26" t="inlineStr">
        <is>
          <t>Issues - Jubilee Hills</t>
        </is>
      </c>
      <c r="M2" s="26" t="n"/>
      <c r="N2" s="26" t="inlineStr">
        <is>
          <t>Consumption (Issues)</t>
        </is>
      </c>
      <c r="O2" s="26" t="n"/>
      <c r="P2" s="26" t="inlineStr">
        <is>
          <t>Making Charges</t>
        </is>
      </c>
      <c r="Q2" s="26" t="n"/>
      <c r="R2" s="26" t="inlineStr">
        <is>
          <t>Sales</t>
        </is>
      </c>
      <c r="S2" s="26" t="n"/>
      <c r="T2" s="26" t="inlineStr">
        <is>
          <t>Closing Stock</t>
        </is>
      </c>
      <c r="U2" s="26" t="n"/>
      <c r="V2" s="26" t="inlineStr">
        <is>
          <t>Gross Profit</t>
        </is>
      </c>
      <c r="W2" s="26" t="inlineStr">
        <is>
          <t>CY GP %</t>
        </is>
      </c>
    </row>
    <row r="3" ht="28" customHeight="1">
      <c r="A3" s="34" t="n"/>
      <c r="B3" s="26" t="inlineStr">
        <is>
          <t>Qty in Gms / Cts</t>
        </is>
      </c>
      <c r="C3" s="26" t="inlineStr">
        <is>
          <t>Amount in Rs</t>
        </is>
      </c>
      <c r="D3" s="26" t="inlineStr">
        <is>
          <t>Qty in Gms / Cts</t>
        </is>
      </c>
      <c r="E3" s="26" t="inlineStr">
        <is>
          <t>Amount in Rs</t>
        </is>
      </c>
      <c r="F3" s="26" t="inlineStr">
        <is>
          <t>Qty in Gms / Cts</t>
        </is>
      </c>
      <c r="G3" s="26" t="inlineStr">
        <is>
          <t>Amount in Rs</t>
        </is>
      </c>
      <c r="H3" s="26" t="inlineStr">
        <is>
          <t>Qty in Gms / Cts</t>
        </is>
      </c>
      <c r="I3" s="26" t="inlineStr">
        <is>
          <t>Amount in Rs</t>
        </is>
      </c>
      <c r="J3" s="26" t="inlineStr">
        <is>
          <t>Qty in Gms / Cts</t>
        </is>
      </c>
      <c r="K3" s="26" t="inlineStr">
        <is>
          <t>Amount in Rs</t>
        </is>
      </c>
      <c r="L3" s="26" t="inlineStr">
        <is>
          <t>Qty in Gms / Cts</t>
        </is>
      </c>
      <c r="M3" s="26" t="inlineStr">
        <is>
          <t>Amount in Rs</t>
        </is>
      </c>
      <c r="N3" s="26" t="inlineStr">
        <is>
          <t>Qty in Gms / Cts</t>
        </is>
      </c>
      <c r="O3" s="26" t="inlineStr">
        <is>
          <t>Amount in Rs</t>
        </is>
      </c>
      <c r="P3" s="26" t="inlineStr">
        <is>
          <t>Qty in Gms / Cts</t>
        </is>
      </c>
      <c r="Q3" s="26" t="inlineStr">
        <is>
          <t>Amount in Rs</t>
        </is>
      </c>
      <c r="R3" s="26" t="inlineStr">
        <is>
          <t>Qty in Gms / Cts</t>
        </is>
      </c>
      <c r="S3" s="26" t="inlineStr">
        <is>
          <t>Amount in Rs</t>
        </is>
      </c>
      <c r="T3" s="26" t="inlineStr">
        <is>
          <t>Qty in Gms / Cts</t>
        </is>
      </c>
      <c r="U3" s="26" t="inlineStr">
        <is>
          <t>Amount in Rs</t>
        </is>
      </c>
      <c r="V3" s="26" t="n"/>
      <c r="W3" s="26" t="n"/>
    </row>
    <row r="4" ht="12" customHeight="1"/>
    <row r="5" ht="18" customHeight="1">
      <c r="A5" s="13" t="inlineStr">
        <is>
          <t>Gold Account 24K</t>
        </is>
      </c>
      <c r="B5" s="29" t="n">
        <v>2127.58</v>
      </c>
      <c r="C5" s="29" t="n">
        <v>16798636.26419274</v>
      </c>
      <c r="D5" s="29" t="n">
        <v>4104.3</v>
      </c>
      <c r="E5" s="29" t="n">
        <v>43206003.923</v>
      </c>
      <c r="F5" s="31" t="n"/>
      <c r="G5" s="31" t="n"/>
      <c r="H5" s="31" t="n"/>
      <c r="I5" s="31" t="n"/>
      <c r="J5" s="31" t="n"/>
      <c r="K5" s="31" t="n"/>
      <c r="L5" s="29" t="n">
        <v>5683.63</v>
      </c>
      <c r="M5" s="29" t="n">
        <v>54725728.331814</v>
      </c>
      <c r="N5" s="29" t="n">
        <v>5683.63</v>
      </c>
      <c r="O5" s="29" t="n">
        <v>54725728.331814</v>
      </c>
      <c r="P5" s="31" t="n"/>
      <c r="Q5" s="31" t="n"/>
      <c r="R5" s="29" t="n">
        <v>332.69</v>
      </c>
      <c r="S5" s="29" t="n">
        <v>3433399.627</v>
      </c>
      <c r="T5" s="29" t="n">
        <v>215.56</v>
      </c>
      <c r="U5" s="29" t="n">
        <v>2075553.475368</v>
      </c>
      <c r="V5" s="29" t="n">
        <v>230041.246989256</v>
      </c>
      <c r="W5" s="29" t="n">
        <v>6.700101123685943</v>
      </c>
    </row>
    <row r="6" ht="18" customHeight="1">
      <c r="A6" s="13" t="inlineStr">
        <is>
          <t>Gold Account 22K</t>
        </is>
      </c>
      <c r="B6" s="29" t="n">
        <v>32686.071</v>
      </c>
      <c r="C6" s="29" t="n">
        <v>201955626.6402281</v>
      </c>
      <c r="D6" s="29" t="n">
        <v>2477.42</v>
      </c>
      <c r="E6" s="29" t="n">
        <v>32858502.818</v>
      </c>
      <c r="F6" s="29" t="n">
        <v>55663.23</v>
      </c>
      <c r="G6" s="31" t="n"/>
      <c r="H6" s="31" t="n"/>
      <c r="I6" s="31" t="n"/>
      <c r="J6" s="31" t="n"/>
      <c r="K6" s="31" t="n"/>
      <c r="L6" s="31" t="n"/>
      <c r="M6" s="31" t="n"/>
      <c r="N6" s="31" t="n"/>
      <c r="O6" s="31" t="n"/>
      <c r="P6" s="31" t="n"/>
      <c r="Q6" s="31" t="n"/>
      <c r="R6" s="29" t="n">
        <v>15107.355</v>
      </c>
      <c r="S6" s="29" t="n">
        <v>185744088.937</v>
      </c>
      <c r="T6" s="29" t="n">
        <v>75719.36599999999</v>
      </c>
      <c r="U6" s="29" t="n">
        <v>195757117.9091314</v>
      </c>
      <c r="V6" s="29" t="n">
        <v>146687077.3879033</v>
      </c>
      <c r="W6" s="29" t="n">
        <v>78.97267591522447</v>
      </c>
    </row>
    <row r="7" ht="18" customHeight="1">
      <c r="A7" s="13" t="inlineStr">
        <is>
          <t>Gold Account 18K</t>
        </is>
      </c>
      <c r="B7" s="29" t="n">
        <v>33674.418</v>
      </c>
      <c r="C7" s="29" t="n">
        <v>190783370.9835939</v>
      </c>
      <c r="D7" s="31" t="n"/>
      <c r="E7" s="31" t="n"/>
      <c r="F7" s="29" t="n">
        <v>60886.718</v>
      </c>
      <c r="G7" s="31" t="n"/>
      <c r="H7" s="31" t="n"/>
      <c r="I7" s="31" t="n"/>
      <c r="J7" s="31" t="n"/>
      <c r="K7" s="31" t="n"/>
      <c r="L7" s="31" t="n"/>
      <c r="M7" s="31" t="n"/>
      <c r="N7" s="31" t="n"/>
      <c r="O7" s="31" t="n"/>
      <c r="P7" s="31" t="n"/>
      <c r="Q7" s="31" t="n"/>
      <c r="R7" s="29" t="n">
        <v>12388.071</v>
      </c>
      <c r="S7" s="29" t="n">
        <v>125015068.227</v>
      </c>
      <c r="T7" s="29" t="n">
        <v>82173.065</v>
      </c>
      <c r="U7" s="29" t="n">
        <v>165789614.929016</v>
      </c>
      <c r="V7" s="29" t="n">
        <v>100021312.1724222</v>
      </c>
      <c r="W7" s="29" t="n">
        <v>80.00740517999427</v>
      </c>
    </row>
    <row r="8" ht="18" customHeight="1">
      <c r="A8" s="13" t="inlineStr">
        <is>
          <t>Gold Account 14K</t>
        </is>
      </c>
      <c r="B8" s="29" t="n">
        <v>1047.849</v>
      </c>
      <c r="C8" s="29" t="n">
        <v>5214821.540247395</v>
      </c>
      <c r="D8" s="31" t="n"/>
      <c r="E8" s="31" t="n"/>
      <c r="F8" s="29" t="n">
        <v>313.967</v>
      </c>
      <c r="G8" s="31" t="n"/>
      <c r="H8" s="31" t="n"/>
      <c r="I8" s="31" t="n"/>
      <c r="J8" s="31" t="n"/>
      <c r="K8" s="31" t="n"/>
      <c r="L8" s="31" t="n"/>
      <c r="M8" s="31" t="n"/>
      <c r="N8" s="31" t="n"/>
      <c r="O8" s="31" t="n"/>
      <c r="P8" s="31" t="n"/>
      <c r="Q8" s="31" t="n"/>
      <c r="R8" s="29" t="n">
        <v>231.73</v>
      </c>
      <c r="S8" s="29" t="n">
        <v>1989631.542</v>
      </c>
      <c r="T8" s="29" t="n">
        <v>1130.086</v>
      </c>
      <c r="U8" s="29" t="n">
        <v>4327454.4800298</v>
      </c>
      <c r="V8" s="29" t="n">
        <v>1102264.481782405</v>
      </c>
      <c r="W8" s="29" t="n">
        <v>55.4004326185137</v>
      </c>
    </row>
    <row r="9" ht="18" customHeight="1">
      <c r="A9" s="13" t="inlineStr">
        <is>
          <t>Silver Account</t>
        </is>
      </c>
      <c r="B9" s="29" t="n">
        <v>94754.74000000001</v>
      </c>
      <c r="C9" s="29" t="n">
        <v>7220770.066311223</v>
      </c>
      <c r="D9" s="31" t="n"/>
      <c r="E9" s="31" t="n"/>
      <c r="F9" s="29" t="n">
        <v>80265.08</v>
      </c>
      <c r="G9" s="31" t="n"/>
      <c r="H9" s="31" t="n"/>
      <c r="I9" s="31" t="n"/>
      <c r="J9" s="31" t="n"/>
      <c r="K9" s="31" t="n"/>
      <c r="L9" s="31" t="n"/>
      <c r="M9" s="31" t="n"/>
      <c r="N9" s="31" t="n"/>
      <c r="O9" s="31" t="n"/>
      <c r="P9" s="31" t="n"/>
      <c r="Q9" s="31" t="n"/>
      <c r="R9" s="29" t="n">
        <v>56363.145</v>
      </c>
      <c r="S9" s="29" t="n">
        <v>9476522.354</v>
      </c>
      <c r="T9" s="29" t="n">
        <v>118656.675</v>
      </c>
      <c r="U9" s="29" t="n">
        <v>4895406.5748075</v>
      </c>
      <c r="V9" s="29" t="n">
        <v>7151158.862496277</v>
      </c>
      <c r="W9" s="29" t="n">
        <v>75.46184766269035</v>
      </c>
    </row>
    <row r="10" ht="18" customHeight="1">
      <c r="A10" s="13" t="inlineStr">
        <is>
          <t>Diamonds Account</t>
        </is>
      </c>
      <c r="B10" s="29" t="n">
        <v>7105.459999999998</v>
      </c>
      <c r="C10" s="29" t="n">
        <v>171504492</v>
      </c>
      <c r="D10" s="31" t="n"/>
      <c r="E10" s="31" t="n"/>
      <c r="F10" s="29" t="n">
        <v>3405.99</v>
      </c>
      <c r="G10" s="29" t="n">
        <v>76604033</v>
      </c>
      <c r="H10" s="31" t="n"/>
      <c r="I10" s="31" t="n"/>
      <c r="J10" s="31" t="n"/>
      <c r="K10" s="31" t="n"/>
      <c r="L10" s="29" t="n">
        <v>588.73</v>
      </c>
      <c r="M10" s="29" t="n">
        <v>2476625</v>
      </c>
      <c r="N10" s="29" t="n">
        <v>588.73</v>
      </c>
      <c r="O10" s="29" t="n">
        <v>2476625</v>
      </c>
      <c r="P10" s="31" t="n"/>
      <c r="Q10" s="31" t="n"/>
      <c r="R10" s="29" t="n">
        <v>2541.525</v>
      </c>
      <c r="S10" s="29" t="n">
        <v>88687795</v>
      </c>
      <c r="T10" s="29" t="n">
        <v>7381.194999999999</v>
      </c>
      <c r="U10" s="29" t="n">
        <v>167774022</v>
      </c>
      <c r="V10" s="29" t="n">
        <v>84957325</v>
      </c>
      <c r="W10" s="29" t="n">
        <v>95.79370532326348</v>
      </c>
    </row>
    <row r="11" ht="18" customHeight="1">
      <c r="A11" s="13" t="inlineStr">
        <is>
          <t>Emeralds</t>
        </is>
      </c>
      <c r="B11" s="29" t="n">
        <v>12561.88</v>
      </c>
      <c r="C11" s="29" t="n">
        <v>4745374</v>
      </c>
      <c r="D11" s="31" t="n"/>
      <c r="E11" s="31" t="n"/>
      <c r="F11" s="29" t="n">
        <v>7251.02</v>
      </c>
      <c r="G11" s="29" t="n">
        <v>41797</v>
      </c>
      <c r="H11" s="31" t="n"/>
      <c r="I11" s="31" t="n"/>
      <c r="J11" s="31" t="n"/>
      <c r="K11" s="31" t="n"/>
      <c r="L11" s="29" t="n">
        <v>4665.680000000002</v>
      </c>
      <c r="M11" s="29" t="n">
        <v>2210414</v>
      </c>
      <c r="N11" s="29" t="n">
        <v>4665.680000000002</v>
      </c>
      <c r="O11" s="29" t="n">
        <v>2210414</v>
      </c>
      <c r="P11" s="31" t="n"/>
      <c r="Q11" s="31" t="n"/>
      <c r="R11" s="29" t="n">
        <v>4145.790000000002</v>
      </c>
      <c r="S11" s="29" t="n">
        <v>2596587</v>
      </c>
      <c r="T11" s="29" t="n">
        <v>11001.43</v>
      </c>
      <c r="U11" s="29" t="n">
        <v>734118</v>
      </c>
      <c r="V11" s="29" t="n">
        <v>-1414669</v>
      </c>
      <c r="W11" s="29" t="n">
        <v>-54.48186407772972</v>
      </c>
    </row>
    <row r="12" ht="18" customHeight="1">
      <c r="A12" s="13" t="inlineStr">
        <is>
          <t>Pearls</t>
        </is>
      </c>
      <c r="B12" s="29" t="n">
        <v>6484.621000000001</v>
      </c>
      <c r="C12" s="29" t="n">
        <v>3573019</v>
      </c>
      <c r="D12" s="31" t="n"/>
      <c r="E12" s="31" t="n"/>
      <c r="F12" s="29" t="n">
        <v>2255.835</v>
      </c>
      <c r="G12" s="29" t="n">
        <v>339</v>
      </c>
      <c r="H12" s="31" t="n"/>
      <c r="I12" s="31" t="n"/>
      <c r="J12" s="31" t="n"/>
      <c r="K12" s="31" t="n"/>
      <c r="L12" s="29" t="n">
        <v>3400.722000000001</v>
      </c>
      <c r="M12" s="29" t="n">
        <v>2634524</v>
      </c>
      <c r="N12" s="29" t="n">
        <v>3400.722000000001</v>
      </c>
      <c r="O12" s="29" t="n">
        <v>2634524</v>
      </c>
      <c r="P12" s="31" t="n"/>
      <c r="Q12" s="31" t="n"/>
      <c r="R12" s="29" t="n">
        <v>2821.755999999999</v>
      </c>
      <c r="S12" s="29" t="n">
        <v>841363</v>
      </c>
      <c r="T12" s="29" t="n">
        <v>2517.978</v>
      </c>
      <c r="U12" s="29" t="n">
        <v>344838</v>
      </c>
      <c r="V12" s="29" t="n">
        <v>247367</v>
      </c>
      <c r="W12" s="29" t="n">
        <v>29.4007461702024</v>
      </c>
    </row>
    <row r="13" ht="18" customHeight="1">
      <c r="A13" s="13" t="inlineStr">
        <is>
          <t>Rubies</t>
        </is>
      </c>
      <c r="B13" s="29" t="n">
        <v>5816.61</v>
      </c>
      <c r="C13" s="29" t="n">
        <v>2426141</v>
      </c>
      <c r="D13" s="31" t="n"/>
      <c r="E13" s="31" t="n"/>
      <c r="F13" s="29" t="n">
        <v>2726.04</v>
      </c>
      <c r="G13" s="29" t="n">
        <v>1516</v>
      </c>
      <c r="H13" s="31" t="n"/>
      <c r="I13" s="31" t="n"/>
      <c r="J13" s="31" t="n"/>
      <c r="K13" s="31" t="n"/>
      <c r="L13" s="29" t="n">
        <v>2633.319999999999</v>
      </c>
      <c r="M13" s="29" t="n">
        <v>1437701</v>
      </c>
      <c r="N13" s="29" t="n">
        <v>2633.319999999999</v>
      </c>
      <c r="O13" s="29" t="n">
        <v>1437701</v>
      </c>
      <c r="P13" s="31" t="n"/>
      <c r="Q13" s="31" t="n"/>
      <c r="R13" s="29" t="n">
        <v>1631.805</v>
      </c>
      <c r="S13" s="29" t="n">
        <v>750428</v>
      </c>
      <c r="T13" s="29" t="n">
        <v>4277.525</v>
      </c>
      <c r="U13" s="29" t="n">
        <v>445325</v>
      </c>
      <c r="V13" s="29" t="n">
        <v>-1230388</v>
      </c>
      <c r="W13" s="29" t="n">
        <v>-163.9581678722009</v>
      </c>
    </row>
    <row r="14" ht="18" customHeight="1">
      <c r="A14" s="13" t="inlineStr">
        <is>
          <t>Color Stones Account</t>
        </is>
      </c>
      <c r="B14" s="29" t="n">
        <v>57905.655</v>
      </c>
      <c r="C14" s="29" t="n">
        <v>33133332</v>
      </c>
      <c r="D14" s="31" t="n"/>
      <c r="E14" s="31" t="n"/>
      <c r="F14" s="29" t="n">
        <v>1239.92</v>
      </c>
      <c r="G14" s="29" t="n">
        <v>91312</v>
      </c>
      <c r="H14" s="31" t="n"/>
      <c r="I14" s="31" t="n"/>
      <c r="J14" s="31" t="n"/>
      <c r="K14" s="31" t="n"/>
      <c r="L14" s="29" t="n">
        <v>32591.89400000001</v>
      </c>
      <c r="M14" s="29" t="n">
        <v>27842053</v>
      </c>
      <c r="N14" s="29" t="n">
        <v>32591.89400000001</v>
      </c>
      <c r="O14" s="29" t="n">
        <v>27842053</v>
      </c>
      <c r="P14" s="31" t="n"/>
      <c r="Q14" s="31" t="n"/>
      <c r="R14" s="29" t="n">
        <v>15630.47</v>
      </c>
      <c r="S14" s="29" t="n">
        <v>2172118</v>
      </c>
      <c r="T14" s="29" t="n">
        <v>10923.211</v>
      </c>
      <c r="U14" s="29" t="n">
        <v>3767371</v>
      </c>
      <c r="V14" s="29" t="n">
        <v>556898</v>
      </c>
      <c r="W14" s="29" t="n">
        <v>25.63847820422279</v>
      </c>
    </row>
    <row r="15" ht="12" customHeight="1"/>
    <row r="16" ht="20" customHeight="1">
      <c r="A16" s="35" t="inlineStr">
        <is>
          <t>TOTAL</t>
        </is>
      </c>
      <c r="B16" s="36" t="n">
        <v>254164.884</v>
      </c>
      <c r="C16" s="36" t="n">
        <v>637355583.4945734</v>
      </c>
      <c r="D16" s="36" t="n">
        <v>6581.72</v>
      </c>
      <c r="E16" s="36" t="n">
        <v>76064506.741</v>
      </c>
      <c r="F16" s="36" t="n">
        <v>214007.8</v>
      </c>
      <c r="G16" s="36" t="n">
        <v>76738997</v>
      </c>
      <c r="H16" s="37" t="n"/>
      <c r="I16" s="37" t="n"/>
      <c r="J16" s="37" t="n"/>
      <c r="K16" s="37" t="n"/>
      <c r="L16" s="36" t="n">
        <v>49563.97600000001</v>
      </c>
      <c r="M16" s="36" t="n">
        <v>91327045.33181399</v>
      </c>
      <c r="N16" s="36" t="n">
        <v>49563.97600000001</v>
      </c>
      <c r="O16" s="36" t="n">
        <v>91327045.33181399</v>
      </c>
      <c r="P16" s="37" t="n"/>
      <c r="Q16" s="37" t="n"/>
      <c r="R16" s="36" t="n">
        <v>111194.337</v>
      </c>
      <c r="S16" s="36" t="n">
        <v>420707001.687</v>
      </c>
      <c r="T16" s="36" t="n">
        <v>313996.091</v>
      </c>
      <c r="U16" s="36" t="n">
        <v>545910821.3683528</v>
      </c>
      <c r="V16" s="36" t="n">
        <v>338308387.1515934</v>
      </c>
      <c r="W16" s="36" t="n">
        <v>80.41425167515754</v>
      </c>
    </row>
    <row r="17" ht="12" customHeight="1"/>
    <row r="18" ht="12" customHeight="1"/>
    <row r="19" ht="22" customHeight="1">
      <c r="A19" s="38" t="inlineStr">
        <is>
          <t>Particulars</t>
        </is>
      </c>
      <c r="B19" s="39" t="n"/>
      <c r="C19" s="39" t="n"/>
      <c r="D19" s="39" t="n"/>
      <c r="E19" s="39" t="n"/>
      <c r="F19" s="39" t="n"/>
      <c r="G19" s="39" t="n"/>
      <c r="H19" s="39" t="n"/>
      <c r="I19" s="39" t="n"/>
      <c r="J19" s="39" t="n"/>
      <c r="K19" s="39" t="n"/>
      <c r="L19" s="39" t="n"/>
      <c r="M19" s="39" t="n"/>
      <c r="N19" s="39" t="n"/>
      <c r="O19" s="39" t="n"/>
      <c r="P19" s="39" t="n"/>
      <c r="Q19" s="39" t="n"/>
      <c r="R19" s="39" t="n"/>
      <c r="S19" s="39" t="n"/>
      <c r="T19" s="39" t="n"/>
      <c r="U19" s="39" t="n"/>
      <c r="V19" s="39" t="n"/>
      <c r="W19" s="39" t="n"/>
    </row>
    <row r="20" ht="12" customHeight="1"/>
    <row r="21" ht="20" customHeight="1">
      <c r="A21" s="40" t="inlineStr">
        <is>
          <t>DIAMONDS</t>
        </is>
      </c>
      <c r="B21" s="41" t="n"/>
      <c r="C21" s="41" t="n"/>
      <c r="D21" s="41" t="n"/>
      <c r="E21" s="41" t="n"/>
      <c r="F21" s="41" t="n"/>
      <c r="G21" s="41" t="n"/>
      <c r="H21" s="41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</row>
    <row r="22" ht="18" customHeight="1">
      <c r="A22" s="42" t="inlineStr">
        <is>
          <t>Diamonds - Beads</t>
        </is>
      </c>
      <c r="B22" s="43" t="n">
        <v>263.03</v>
      </c>
      <c r="C22" s="43" t="n">
        <v>347108</v>
      </c>
      <c r="D22" s="44" t="n"/>
      <c r="E22" s="44" t="n"/>
      <c r="F22" s="44" t="n"/>
      <c r="G22" s="44" t="n"/>
      <c r="H22" s="44" t="n"/>
      <c r="I22" s="44" t="n"/>
      <c r="J22" s="44" t="n"/>
      <c r="K22" s="44" t="n"/>
      <c r="L22" s="44" t="n"/>
      <c r="M22" s="44" t="n"/>
      <c r="N22" s="44" t="n"/>
      <c r="O22" s="44" t="n"/>
      <c r="P22" s="44" t="n"/>
      <c r="Q22" s="44" t="n"/>
      <c r="R22" s="43" t="n">
        <v>85.17</v>
      </c>
      <c r="S22" s="43" t="n">
        <v>387380</v>
      </c>
      <c r="T22" s="43" t="n">
        <v>177.86</v>
      </c>
      <c r="U22" s="43" t="n">
        <v>234713</v>
      </c>
      <c r="V22" s="43" t="n">
        <v>274985</v>
      </c>
      <c r="W22" s="43" t="n">
        <v>70.98585368372142</v>
      </c>
    </row>
    <row r="23" ht="18" customHeight="1">
      <c r="A23" s="42" t="inlineStr">
        <is>
          <t>Diamonds Rosecut diamonds</t>
        </is>
      </c>
      <c r="B23" s="44" t="n"/>
      <c r="C23" s="44" t="n"/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4" t="n"/>
      <c r="N23" s="44" t="n"/>
      <c r="O23" s="44" t="n"/>
      <c r="P23" s="44" t="n"/>
      <c r="Q23" s="44" t="n"/>
      <c r="R23" s="44" t="n"/>
      <c r="S23" s="44" t="n"/>
      <c r="T23" s="44" t="n"/>
      <c r="U23" s="44" t="n"/>
      <c r="V23" s="43" t="n">
        <v>0</v>
      </c>
      <c r="W23" s="44" t="n"/>
    </row>
    <row r="24" ht="18" customHeight="1">
      <c r="A24" s="42" t="inlineStr">
        <is>
          <t>Diamonds - Flat polki</t>
        </is>
      </c>
      <c r="B24" s="44" t="n"/>
      <c r="C24" s="44" t="n"/>
      <c r="D24" s="44" t="n"/>
      <c r="E24" s="44" t="n"/>
      <c r="F24" s="44" t="n"/>
      <c r="G24" s="44" t="n"/>
      <c r="H24" s="44" t="n"/>
      <c r="I24" s="44" t="n"/>
      <c r="J24" s="44" t="n"/>
      <c r="K24" s="44" t="n"/>
      <c r="L24" s="44" t="n"/>
      <c r="M24" s="44" t="n"/>
      <c r="N24" s="44" t="n"/>
      <c r="O24" s="44" t="n"/>
      <c r="P24" s="44" t="n"/>
      <c r="Q24" s="44" t="n"/>
      <c r="R24" s="44" t="n"/>
      <c r="S24" s="44" t="n"/>
      <c r="T24" s="44" t="n"/>
      <c r="U24" s="44" t="n"/>
      <c r="V24" s="43" t="n">
        <v>0</v>
      </c>
      <c r="W24" s="44" t="n"/>
    </row>
    <row r="25" ht="18" customHeight="1">
      <c r="A25" s="42" t="inlineStr">
        <is>
          <t>Uncut - diamonds</t>
        </is>
      </c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  <c r="O25" s="44" t="n"/>
      <c r="P25" s="44" t="n"/>
      <c r="Q25" s="44" t="n"/>
      <c r="R25" s="44" t="n"/>
      <c r="S25" s="44" t="n"/>
      <c r="T25" s="44" t="n"/>
      <c r="U25" s="44" t="n"/>
      <c r="V25" s="43" t="n">
        <v>0</v>
      </c>
      <c r="W25" s="44" t="n"/>
    </row>
    <row r="26" ht="18" customHeight="1">
      <c r="A26" s="42" t="inlineStr">
        <is>
          <t>Diamonds</t>
        </is>
      </c>
      <c r="B26" s="43" t="n">
        <v>5102.514999999999</v>
      </c>
      <c r="C26" s="43" t="n">
        <v>156010966</v>
      </c>
      <c r="D26" s="44" t="n"/>
      <c r="E26" s="44" t="n"/>
      <c r="F26" s="43" t="n">
        <v>3083.92</v>
      </c>
      <c r="G26" s="43" t="n">
        <v>72239893</v>
      </c>
      <c r="H26" s="44" t="n"/>
      <c r="I26" s="44" t="n"/>
      <c r="J26" s="44" t="n"/>
      <c r="K26" s="44" t="n"/>
      <c r="L26" s="44" t="n"/>
      <c r="M26" s="44" t="n"/>
      <c r="N26" s="44" t="n"/>
      <c r="O26" s="44" t="n"/>
      <c r="P26" s="44" t="n"/>
      <c r="Q26" s="44" t="n"/>
      <c r="R26" s="43" t="n">
        <v>1992.035</v>
      </c>
      <c r="S26" s="43" t="n">
        <v>80532205</v>
      </c>
      <c r="T26" s="43" t="n">
        <v>6194.399999999999</v>
      </c>
      <c r="U26" s="43" t="n">
        <v>156465718</v>
      </c>
      <c r="V26" s="43" t="n">
        <v>80986957</v>
      </c>
      <c r="W26" s="43" t="n">
        <v>100.5646834083334</v>
      </c>
    </row>
    <row r="27" ht="20" customHeight="1">
      <c r="A27" s="35" t="inlineStr">
        <is>
          <t>Total Diamonds</t>
        </is>
      </c>
      <c r="B27" s="36" t="n">
        <v>5365.544999999998</v>
      </c>
      <c r="C27" s="36" t="n">
        <v>156358074</v>
      </c>
      <c r="D27" s="37" t="n"/>
      <c r="E27" s="37" t="n"/>
      <c r="F27" s="36" t="n">
        <v>3083.92</v>
      </c>
      <c r="G27" s="36" t="n">
        <v>72239893</v>
      </c>
      <c r="H27" s="37" t="n"/>
      <c r="I27" s="37" t="n"/>
      <c r="J27" s="37" t="n"/>
      <c r="K27" s="37" t="n"/>
      <c r="L27" s="37" t="n"/>
      <c r="M27" s="37" t="n"/>
      <c r="N27" s="37" t="n"/>
      <c r="O27" s="37" t="n"/>
      <c r="P27" s="37" t="n"/>
      <c r="Q27" s="37" t="n"/>
      <c r="R27" s="36" t="n">
        <v>2077.204999999999</v>
      </c>
      <c r="S27" s="36" t="n">
        <v>80919585</v>
      </c>
      <c r="T27" s="36" t="n">
        <v>6372.259999999998</v>
      </c>
      <c r="U27" s="36" t="n">
        <v>156700431</v>
      </c>
      <c r="V27" s="36" t="n">
        <v>81261942</v>
      </c>
      <c r="W27" s="36" t="n">
        <v>100.4230829903539</v>
      </c>
    </row>
    <row r="28" ht="12" customHeight="1"/>
    <row r="29" ht="20" customHeight="1">
      <c r="A29" s="40" t="inlineStr">
        <is>
          <t>COLOR STONES</t>
        </is>
      </c>
      <c r="B29" s="41" t="n"/>
      <c r="C29" s="41" t="n"/>
      <c r="D29" s="41" t="n"/>
      <c r="E29" s="41" t="n"/>
      <c r="F29" s="41" t="n"/>
      <c r="G29" s="41" t="n"/>
      <c r="H29" s="41" t="n"/>
      <c r="I29" s="41" t="n"/>
      <c r="J29" s="41" t="n"/>
      <c r="K29" s="41" t="n"/>
      <c r="L29" s="41" t="n"/>
      <c r="M29" s="41" t="n"/>
      <c r="N29" s="41" t="n"/>
      <c r="O29" s="41" t="n"/>
      <c r="P29" s="41" t="n"/>
      <c r="Q29" s="41" t="n"/>
      <c r="R29" s="41" t="n"/>
      <c r="S29" s="41" t="n"/>
      <c r="T29" s="41" t="n"/>
      <c r="U29" s="41" t="n"/>
      <c r="V29" s="41" t="n"/>
      <c r="W29" s="41" t="n"/>
    </row>
    <row r="30" ht="18" customHeight="1">
      <c r="A30" s="42" t="inlineStr">
        <is>
          <t>Precious Stones</t>
        </is>
      </c>
      <c r="B30" s="43" t="n">
        <v>45517.49</v>
      </c>
      <c r="C30" s="43" t="n">
        <v>30593811</v>
      </c>
      <c r="D30" s="44" t="n"/>
      <c r="E30" s="44" t="n"/>
      <c r="F30" s="43" t="n">
        <v>481.26</v>
      </c>
      <c r="G30" s="43" t="n">
        <v>70385</v>
      </c>
      <c r="H30" s="44" t="n"/>
      <c r="I30" s="44" t="n"/>
      <c r="J30" s="44" t="n"/>
      <c r="K30" s="44" t="n"/>
      <c r="L30" s="43" t="n">
        <v>23757.484</v>
      </c>
      <c r="M30" s="43" t="n">
        <v>25729158</v>
      </c>
      <c r="N30" s="43" t="n">
        <v>23757.484</v>
      </c>
      <c r="O30" s="43" t="n">
        <v>25729158</v>
      </c>
      <c r="P30" s="44" t="n"/>
      <c r="Q30" s="44" t="n"/>
      <c r="R30" s="43" t="n">
        <v>15473.87</v>
      </c>
      <c r="S30" s="43" t="n">
        <v>2145520</v>
      </c>
      <c r="T30" s="43" t="n">
        <v>6767.396000000002</v>
      </c>
      <c r="U30" s="43" t="n">
        <v>3335988</v>
      </c>
      <c r="V30" s="43" t="n">
        <v>546470</v>
      </c>
      <c r="W30" s="43" t="n">
        <v>25.47028226257504</v>
      </c>
    </row>
    <row r="31" ht="18" customHeight="1">
      <c r="A31" s="42" t="inlineStr">
        <is>
          <t>Semi Precious</t>
        </is>
      </c>
      <c r="B31" s="43" t="n">
        <v>11170.8</v>
      </c>
      <c r="C31" s="43" t="n">
        <v>2444266</v>
      </c>
      <c r="D31" s="44" t="n"/>
      <c r="E31" s="44" t="n"/>
      <c r="F31" s="43" t="n">
        <v>758.66</v>
      </c>
      <c r="G31" s="43" t="n">
        <v>20928</v>
      </c>
      <c r="H31" s="44" t="n"/>
      <c r="I31" s="44" t="n"/>
      <c r="J31" s="44" t="n"/>
      <c r="K31" s="44" t="n"/>
      <c r="L31" s="43" t="n">
        <v>8080.2</v>
      </c>
      <c r="M31" s="43" t="n">
        <v>2049214</v>
      </c>
      <c r="N31" s="43" t="n">
        <v>8080.2</v>
      </c>
      <c r="O31" s="43" t="n">
        <v>2049214</v>
      </c>
      <c r="P31" s="44" t="n"/>
      <c r="Q31" s="44" t="n"/>
      <c r="R31" s="43" t="n">
        <v>27.36</v>
      </c>
      <c r="S31" s="43" t="n">
        <v>2736</v>
      </c>
      <c r="T31" s="43" t="n">
        <v>3821.9</v>
      </c>
      <c r="U31" s="43" t="n">
        <v>413692</v>
      </c>
      <c r="V31" s="43" t="n">
        <v>448</v>
      </c>
      <c r="W31" s="43" t="n">
        <v>16.37426900584795</v>
      </c>
    </row>
    <row r="32" ht="18" customHeight="1">
      <c r="A32" s="42" t="inlineStr">
        <is>
          <t>Synthetic Stones</t>
        </is>
      </c>
      <c r="B32" s="43" t="n">
        <v>1217.365</v>
      </c>
      <c r="C32" s="43" t="n">
        <v>95255</v>
      </c>
      <c r="D32" s="44" t="n"/>
      <c r="E32" s="44" t="n"/>
      <c r="F32" s="44" t="n"/>
      <c r="G32" s="44" t="n"/>
      <c r="H32" s="44" t="n"/>
      <c r="I32" s="44" t="n"/>
      <c r="J32" s="44" t="n"/>
      <c r="K32" s="44" t="n"/>
      <c r="L32" s="43" t="n">
        <v>754.21</v>
      </c>
      <c r="M32" s="43" t="n">
        <v>63680</v>
      </c>
      <c r="N32" s="43" t="n">
        <v>754.21</v>
      </c>
      <c r="O32" s="43" t="n">
        <v>63680</v>
      </c>
      <c r="P32" s="44" t="n"/>
      <c r="Q32" s="44" t="n"/>
      <c r="R32" s="43" t="n">
        <v>129.24</v>
      </c>
      <c r="S32" s="43" t="n">
        <v>23862</v>
      </c>
      <c r="T32" s="43" t="n">
        <v>333.915</v>
      </c>
      <c r="U32" s="43" t="n">
        <v>17691</v>
      </c>
      <c r="V32" s="43" t="n">
        <v>9978</v>
      </c>
      <c r="W32" s="43" t="n">
        <v>41.81543877294443</v>
      </c>
    </row>
    <row r="33" ht="20" customHeight="1">
      <c r="A33" s="35" t="inlineStr">
        <is>
          <t>TOTAL Colour Stones</t>
        </is>
      </c>
      <c r="B33" s="36" t="n">
        <v>57905.655</v>
      </c>
      <c r="C33" s="36" t="n">
        <v>33133332</v>
      </c>
      <c r="D33" s="37" t="n"/>
      <c r="E33" s="37" t="n"/>
      <c r="F33" s="36" t="n">
        <v>1239.92</v>
      </c>
      <c r="G33" s="36" t="n">
        <v>91313</v>
      </c>
      <c r="H33" s="37" t="n"/>
      <c r="I33" s="37" t="n"/>
      <c r="J33" s="37" t="n"/>
      <c r="K33" s="37" t="n"/>
      <c r="L33" s="36" t="n">
        <v>32591.894</v>
      </c>
      <c r="M33" s="36" t="n">
        <v>27842052</v>
      </c>
      <c r="N33" s="36" t="n">
        <v>32591.894</v>
      </c>
      <c r="O33" s="36" t="n">
        <v>27842052</v>
      </c>
      <c r="P33" s="37" t="n"/>
      <c r="Q33" s="37" t="n"/>
      <c r="R33" s="36" t="n">
        <v>15630.47</v>
      </c>
      <c r="S33" s="36" t="n">
        <v>2172118</v>
      </c>
      <c r="T33" s="36" t="n">
        <v>10923.211</v>
      </c>
      <c r="U33" s="36" t="n">
        <v>3767371</v>
      </c>
      <c r="V33" s="36" t="n">
        <v>556896</v>
      </c>
      <c r="W33" s="36" t="n">
        <v>25.63838612819377</v>
      </c>
    </row>
  </sheetData>
  <mergeCells count="14">
    <mergeCell ref="L2:M2"/>
    <mergeCell ref="F2:G2"/>
    <mergeCell ref="B2:C2"/>
    <mergeCell ref="A1:W1"/>
    <mergeCell ref="H2:I2"/>
    <mergeCell ref="D2:E2"/>
    <mergeCell ref="T2:U2"/>
    <mergeCell ref="J2:K2"/>
    <mergeCell ref="N2:O2"/>
    <mergeCell ref="R2:S2"/>
    <mergeCell ref="P2:Q2"/>
    <mergeCell ref="A2:A3"/>
    <mergeCell ref="V2:V3"/>
    <mergeCell ref="W2:W3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2026-10-26T14:05:42Z</dcterms:created>
  <dcterms:modified xsi:type="dcterms:W3CDTF">2026-10-26T14:05:43Z</dcterms:modified>
</cp:coreProperties>
</file>